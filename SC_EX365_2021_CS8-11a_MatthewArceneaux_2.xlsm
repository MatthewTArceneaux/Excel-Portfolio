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drawings/drawing6.xml" ContentType="application/vnd.openxmlformats-officedocument.drawing+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harts/chart4.xml" ContentType="application/vnd.openxmlformats-officedocument.drawingml.chart+xml"/>
  <Override PartName="/xl/charts/chartEx1.xml" ContentType="application/vnd.ms-office.chartex+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https://d.docs.live.net/b5912a7e81f84211/ITSW 2313/Capstone Project/"/>
    </mc:Choice>
  </mc:AlternateContent>
  <xr:revisionPtr revIDLastSave="518" documentId="8_{1980A74D-09F0-4AC6-9B48-79511F5E4221}" xr6:coauthVersionLast="47" xr6:coauthVersionMax="47" xr10:uidLastSave="{97D7DE53-59B1-44D2-B446-46E19AD237E5}"/>
  <bookViews>
    <workbookView xWindow="-120" yWindow="-120" windowWidth="29040" windowHeight="15720" tabRatio="828" firstSheet="1" activeTab="4" xr2:uid="{00000000-000D-0000-FFFF-FFFF00000000}"/>
  </bookViews>
  <sheets>
    <sheet name="Documentation" sheetId="10" r:id="rId1"/>
    <sheet name="Survey" sheetId="1" r:id="rId2"/>
    <sheet name="Sales Comparison" sheetId="4" r:id="rId3"/>
    <sheet name="May Sales by Region" sheetId="11" r:id="rId4"/>
    <sheet name="Sales Reps" sheetId="13" r:id="rId5"/>
    <sheet name="May Sales by Product Type" sheetId="12" r:id="rId6"/>
    <sheet name="Orders" sheetId="5" r:id="rId7"/>
    <sheet name="Installations" sheetId="6" r:id="rId8"/>
    <sheet name="Income Scenario Report" sheetId="14" r:id="rId9"/>
    <sheet name="Income Analysis" sheetId="7" r:id="rId10"/>
    <sheet name="Trade Show Answer Report" sheetId="15" r:id="rId11"/>
    <sheet name="Trade Shows" sheetId="9" r:id="rId12"/>
    <sheet name="Client Information" sheetId="3" state="hidden" r:id="rId13"/>
  </sheets>
  <definedNames>
    <definedName name="_xlchart.v1.0" hidden="1">Installations!$H$4:$J$13</definedName>
    <definedName name="_xlchart.v1.1" hidden="1">Installations!$K$3</definedName>
    <definedName name="_xlchart.v1.2" hidden="1">Installations!$K$4:$K$13</definedName>
    <definedName name="_xlchart.v1.3" hidden="1">Installations!$H$4:$J$13</definedName>
    <definedName name="_xlchart.v1.4" hidden="1">Installations!$K$3</definedName>
    <definedName name="_xlchart.v1.5" hidden="1">Installations!$K$4:$K$13</definedName>
    <definedName name="ActualNumberOfPayments">IFERROR(IF(LoanIsGood,IF(PaymentsPerYear=1,1,MATCH(0.01,End_Bal,-1)+1)),"")</definedName>
    <definedName name="Address">Survey!$D$6</definedName>
    <definedName name="Chicago_promotions">'Trade Shows'!$B$9</definedName>
    <definedName name="City">Survey!$D$7</definedName>
    <definedName name="Down_Payment" localSheetId="0">#REF!</definedName>
    <definedName name="Down_Payment">#REF!</definedName>
    <definedName name="Email">Survey!$G$8</definedName>
    <definedName name="First_Name">Survey!$D$5</definedName>
    <definedName name="Las_Vegas_promotions">'Trade Shows'!$C$9</definedName>
    <definedName name="Last_Name">Survey!$D$4</definedName>
    <definedName name="Loan_Am">#REF!</definedName>
    <definedName name="Loan_Calculator" localSheetId="0">#REF!</definedName>
    <definedName name="Miscellaneous">'Income Analysis'!$B$21</definedName>
    <definedName name="Net_income">'Income Analysis'!$B$27</definedName>
    <definedName name="Orlando_promotions">'Trade Shows'!$D$9</definedName>
    <definedName name="Payroll">'Income Analysis'!$B$18</definedName>
    <definedName name="Phone">Survey!$D$8</definedName>
    <definedName name="Postal_Code">Survey!$I$7</definedName>
    <definedName name="Price">#REF!</definedName>
    <definedName name="Price_per_unit">'Income Analysis'!$B$6</definedName>
    <definedName name="Shipping_and_distribution">'Income Analysis'!$B$19</definedName>
    <definedName name="Slicer_Order_Source">#N/A</definedName>
    <definedName name="solver_adj" localSheetId="11" hidden="1">'Trade Shows'!$B$9:$D$9</definedName>
    <definedName name="solver_cvg" localSheetId="11" hidden="1">0.0001</definedName>
    <definedName name="solver_drv" localSheetId="11" hidden="1">2</definedName>
    <definedName name="solver_eng" localSheetId="11" hidden="1">2</definedName>
    <definedName name="solver_est" localSheetId="11" hidden="1">1</definedName>
    <definedName name="solver_itr" localSheetId="11" hidden="1">2147483647</definedName>
    <definedName name="solver_lhs1" localSheetId="11" hidden="1">'Trade Shows'!$B$9:$D$9</definedName>
    <definedName name="solver_lhs2" localSheetId="11" hidden="1">'Trade Shows'!$B$9:$D$9</definedName>
    <definedName name="solver_lhs3" localSheetId="11" hidden="1">'Trade Shows'!$B$9</definedName>
    <definedName name="solver_lhs4" localSheetId="11" hidden="1">'Trade Shows'!$C$9</definedName>
    <definedName name="solver_lhs5" localSheetId="11" hidden="1">'Trade Shows'!$D$9</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5</definedName>
    <definedName name="solver_nwt" localSheetId="11" hidden="1">1</definedName>
    <definedName name="solver_opt" localSheetId="11" hidden="1">'Trade Shows'!$E$11</definedName>
    <definedName name="solver_pre" localSheetId="11" hidden="1">0.000001</definedName>
    <definedName name="solver_rbv" localSheetId="11" hidden="1">2</definedName>
    <definedName name="solver_rel1" localSheetId="11" hidden="1">4</definedName>
    <definedName name="solver_rel2" localSheetId="11" hidden="1">3</definedName>
    <definedName name="solver_rel3" localSheetId="11" hidden="1">1</definedName>
    <definedName name="solver_rel4" localSheetId="11" hidden="1">1</definedName>
    <definedName name="solver_rel5" localSheetId="11" hidden="1">1</definedName>
    <definedName name="solver_rhs1" localSheetId="11" hidden="1">"integer"</definedName>
    <definedName name="solver_rhs2" localSheetId="11" hidden="1">0</definedName>
    <definedName name="solver_rhs3" localSheetId="11" hidden="1">4</definedName>
    <definedName name="solver_rhs4" localSheetId="11" hidden="1">4</definedName>
    <definedName name="solver_rhs5" localSheetId="11" hidden="1">4</definedName>
    <definedName name="solver_rlx" localSheetId="11" hidden="1">2</definedName>
    <definedName name="solver_rsd" localSheetId="11" hidden="1">0</definedName>
    <definedName name="solver_scl" localSheetId="11" hidden="1">2</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98000</definedName>
    <definedName name="solver_ver" localSheetId="11" hidden="1">3</definedName>
    <definedName name="Sources">Survey!$A$26:$A$31</definedName>
    <definedName name="State">Survey!$G$7</definedName>
    <definedName name="Storage">'Income Analysis'!$B$20</definedName>
    <definedName name="Total_expenses">'Income Analysis'!$B$26</definedName>
    <definedName name="Total_promotion_cost">'Trade Shows'!$E$11</definedName>
    <definedName name="Total_revenue">'Income Analysis'!$B$25</definedName>
    <definedName name="Units_sold">'Income Analysis'!$B$5</definedName>
  </definedNames>
  <calcPr calcId="191029"/>
  <pivotCaches>
    <pivotCache cacheId="9" r:id="rId14"/>
    <pivotCache cacheId="23" r:id="rId15"/>
    <pivotCache cacheId="35"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9cdeba00-878a-4f1e-9159-af041355bbec" name="Sales" connection="Query - Sales"/>
          <x15:modelTable id="SalesReps_66d34769-394c-4c7b-b44b-fc9d98f96d4f" name="SalesReps" connection="Query - SalesReps"/>
        </x15:modelTables>
        <x15:modelRelationships>
          <x15:modelRelationship fromTable="Sales" fromColumn="SalesRepID" toTable="SalesReps" toColumn="SalesRep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1" i="9" l="1"/>
  <c r="A20" i="9"/>
  <c r="A19" i="9"/>
  <c r="A18" i="9"/>
  <c r="A17" i="9"/>
  <c r="A16" i="9" a="1"/>
  <c r="A16" i="9"/>
  <c r="A15" i="9" a="1"/>
  <c r="A15" i="9"/>
  <c r="A14" i="9"/>
  <c r="G4" i="4" l="1"/>
  <c r="G5" i="4"/>
  <c r="G6" i="4"/>
  <c r="G7" i="4"/>
  <c r="G8" i="4"/>
  <c r="G9" i="4"/>
  <c r="G10" i="4"/>
  <c r="G11" i="4"/>
  <c r="G12" i="4"/>
  <c r="G13" i="4"/>
  <c r="E12" i="4"/>
  <c r="D23" i="1"/>
  <c r="H23" i="1"/>
  <c r="G23" i="1"/>
  <c r="F23" i="1"/>
  <c r="E23" i="1"/>
  <c r="C23" i="1"/>
  <c r="B23" i="1"/>
  <c r="A23" i="1"/>
  <c r="I18" i="5"/>
  <c r="I17" i="5"/>
  <c r="I16" i="5"/>
  <c r="I15" i="5"/>
  <c r="I14" i="5"/>
  <c r="D11" i="9" l="1"/>
  <c r="C11" i="9"/>
  <c r="B11" i="9"/>
  <c r="C10" i="9"/>
  <c r="D10" i="9"/>
  <c r="B10" i="9"/>
  <c r="E9" i="9"/>
  <c r="C7" i="9"/>
  <c r="D7" i="9"/>
  <c r="B7" i="9"/>
  <c r="E11" i="9" l="1"/>
  <c r="A13" i="9" s="1"/>
  <c r="E10" i="9"/>
  <c r="B10" i="7" l="1"/>
  <c r="D5" i="7" l="1"/>
  <c r="B22" i="7"/>
  <c r="B14" i="7"/>
  <c r="B12" i="7"/>
  <c r="B7" i="7"/>
  <c r="B25" i="7" s="1"/>
  <c r="B15" i="7" l="1"/>
  <c r="B26" i="7" s="1"/>
  <c r="F5" i="7" s="1"/>
  <c r="E5" i="7"/>
  <c r="B27" i="7" l="1"/>
  <c r="G5" i="7" s="1"/>
  <c r="F12" i="4"/>
  <c r="F13" i="4"/>
  <c r="E13" i="4"/>
  <c r="D12" i="4"/>
  <c r="D5" i="6" l="1"/>
  <c r="D6" i="6"/>
  <c r="D7" i="6"/>
  <c r="D8" i="6"/>
  <c r="D9" i="6"/>
  <c r="D10" i="6"/>
  <c r="D11" i="6"/>
  <c r="D12" i="6"/>
  <c r="D13" i="6"/>
  <c r="D14" i="6"/>
  <c r="D15" i="6"/>
  <c r="D16" i="6"/>
  <c r="D17" i="6"/>
  <c r="D18" i="6"/>
  <c r="D19" i="6"/>
  <c r="D20" i="6"/>
  <c r="D21" i="6"/>
  <c r="D22" i="6"/>
  <c r="D23" i="6"/>
  <c r="D24" i="6"/>
  <c r="D25" i="6"/>
  <c r="D26" i="6"/>
  <c r="D27" i="6"/>
  <c r="D28" i="6"/>
  <c r="D29" i="6"/>
  <c r="D30" i="6"/>
  <c r="D4" i="6"/>
  <c r="D5" i="5"/>
  <c r="D6" i="5"/>
  <c r="D7" i="5"/>
  <c r="D8" i="5"/>
  <c r="D10" i="5"/>
  <c r="D11" i="5"/>
  <c r="D12" i="5"/>
  <c r="D13" i="5"/>
  <c r="D14" i="5"/>
  <c r="D15" i="5"/>
  <c r="D16" i="5"/>
  <c r="D17" i="5"/>
  <c r="D18" i="5"/>
  <c r="D19" i="5"/>
  <c r="D20" i="5"/>
  <c r="D21" i="5"/>
  <c r="D22" i="5"/>
  <c r="D23" i="5"/>
  <c r="D24" i="5"/>
  <c r="D25" i="5"/>
  <c r="D26" i="5"/>
  <c r="D27" i="5"/>
  <c r="D28" i="5"/>
  <c r="D29" i="5"/>
  <c r="D30" i="5"/>
  <c r="D4" i="5"/>
  <c r="I23"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Sales" description="Connection to the 'Sales' query in the workbook." type="100" refreshedVersion="6" minRefreshableVersion="5">
    <extLst>
      <ext xmlns:x15="http://schemas.microsoft.com/office/spreadsheetml/2010/11/main" uri="{DE250136-89BD-433C-8126-D09CA5730AF9}">
        <x15:connection id="f590796b-5aac-44b5-82cd-d2ee58813cdc"/>
      </ext>
    </extLst>
  </connection>
  <connection id="2" xr16:uid="{00000000-0015-0000-FFFF-FFFF01000000}" name="Query - SalesReps" description="Connection to the 'SalesReps' query in the workbook." type="100" refreshedVersion="6" minRefreshableVersion="5">
    <extLst>
      <ext xmlns:x15="http://schemas.microsoft.com/office/spreadsheetml/2010/11/main" uri="{DE250136-89BD-433C-8126-D09CA5730AF9}">
        <x15:connection id="ef341ea4-c625-4796-b88c-43138e71c502"/>
      </ext>
    </extLst>
  </connection>
  <connection id="3" xr16:uid="{00000000-0015-0000-FFFF-FFFF02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<sst xmlns="http://schemas.openxmlformats.org/spreadsheetml/2006/main" count="440" uniqueCount="246">
  <si>
    <t>Porter 360</t>
  </si>
  <si>
    <t>ANALYZE DATA AND SOLVE PROBLEMS</t>
  </si>
  <si>
    <t>Author:</t>
  </si>
  <si>
    <t>Matthew Arceneaux</t>
  </si>
  <si>
    <t>Note: Do not edit this sheet. If your name does not appear in cell B6, please download a new copy of the file from the SAM website.</t>
  </si>
  <si>
    <t>Last Name</t>
  </si>
  <si>
    <t>First Name</t>
  </si>
  <si>
    <t>City</t>
  </si>
  <si>
    <t>Address</t>
  </si>
  <si>
    <t>Phone</t>
  </si>
  <si>
    <t>State</t>
  </si>
  <si>
    <t>Email</t>
  </si>
  <si>
    <t>Postal Code</t>
  </si>
  <si>
    <t>Social media</t>
  </si>
  <si>
    <t>Website</t>
  </si>
  <si>
    <t>Salesperson</t>
  </si>
  <si>
    <t>Other client</t>
  </si>
  <si>
    <t>How did you hear about Porter 360 products and services?</t>
  </si>
  <si>
    <t>Print ad</t>
  </si>
  <si>
    <t>TV ad</t>
  </si>
  <si>
    <t>Security lights</t>
  </si>
  <si>
    <t>Portable camera</t>
  </si>
  <si>
    <t>Video doorbell</t>
  </si>
  <si>
    <t>Whole-house security</t>
  </si>
  <si>
    <t>Source</t>
  </si>
  <si>
    <t>Information source</t>
  </si>
  <si>
    <t>Which products do you want to know more about? (Choose all that apply.)</t>
  </si>
  <si>
    <t>Top-Selling Products</t>
  </si>
  <si>
    <t>Product ID</t>
  </si>
  <si>
    <t>Product Type</t>
  </si>
  <si>
    <t>Unit Price</t>
  </si>
  <si>
    <t>Year 1 Sales</t>
  </si>
  <si>
    <t>Year 2 Sales</t>
  </si>
  <si>
    <t>DB100</t>
  </si>
  <si>
    <t>Product Name</t>
  </si>
  <si>
    <t>Doorbell Cam 100</t>
  </si>
  <si>
    <t>Doorbell</t>
  </si>
  <si>
    <t>FL110</t>
  </si>
  <si>
    <t>Floodlight</t>
  </si>
  <si>
    <t>Floodlight Cam 110</t>
  </si>
  <si>
    <t>AL200</t>
  </si>
  <si>
    <t>Alarm Kit 200</t>
  </si>
  <si>
    <t>Alarm</t>
  </si>
  <si>
    <t>DB120</t>
  </si>
  <si>
    <t>Doorbell Cam 120</t>
  </si>
  <si>
    <t>CM310</t>
  </si>
  <si>
    <t>Portable Camera 310</t>
  </si>
  <si>
    <t>CM330</t>
  </si>
  <si>
    <t>Portable Camera 330</t>
  </si>
  <si>
    <t>AL220</t>
  </si>
  <si>
    <t>Alarm Kit 220</t>
  </si>
  <si>
    <t>FL150</t>
  </si>
  <si>
    <t>Floodlight Cam 150</t>
  </si>
  <si>
    <t>R&amp;D Expenses</t>
  </si>
  <si>
    <t>Month</t>
  </si>
  <si>
    <t>Sales</t>
  </si>
  <si>
    <t>Jan</t>
  </si>
  <si>
    <t>Feb</t>
  </si>
  <si>
    <t>Mar</t>
  </si>
  <si>
    <t>Apr</t>
  </si>
  <si>
    <t>May</t>
  </si>
  <si>
    <t>Jun</t>
  </si>
  <si>
    <t>Jul</t>
  </si>
  <si>
    <t>Aug</t>
  </si>
  <si>
    <t>Sep</t>
  </si>
  <si>
    <t>Oct</t>
  </si>
  <si>
    <t>Nov</t>
  </si>
  <si>
    <t>Dec</t>
  </si>
  <si>
    <t>R&amp;D and Sales - Year 2</t>
  </si>
  <si>
    <t>Region</t>
  </si>
  <si>
    <t>Order Source</t>
  </si>
  <si>
    <t>Payment</t>
  </si>
  <si>
    <t>Northwest</t>
  </si>
  <si>
    <t>Midwest</t>
  </si>
  <si>
    <t>Southeast</t>
  </si>
  <si>
    <t>Southwest</t>
  </si>
  <si>
    <t>Northeast</t>
  </si>
  <si>
    <t>Product IDs</t>
  </si>
  <si>
    <t>Product Types</t>
  </si>
  <si>
    <t>Online</t>
  </si>
  <si>
    <t>Hardware store</t>
  </si>
  <si>
    <t>Direct</t>
  </si>
  <si>
    <t>Cust ID</t>
  </si>
  <si>
    <t>Date Requested</t>
  </si>
  <si>
    <t>Date Installed</t>
  </si>
  <si>
    <t>Days</t>
  </si>
  <si>
    <t>Product Installations: March</t>
  </si>
  <si>
    <t>Bins</t>
  </si>
  <si>
    <t>Sales of Accessories</t>
  </si>
  <si>
    <t>Category</t>
  </si>
  <si>
    <t>Model</t>
  </si>
  <si>
    <t>Power</t>
  </si>
  <si>
    <t>Product</t>
  </si>
  <si>
    <t>Battery Pack</t>
  </si>
  <si>
    <t>QR 50</t>
  </si>
  <si>
    <t>Solar Panel</t>
  </si>
  <si>
    <t>SP 121</t>
  </si>
  <si>
    <t>QR 70</t>
  </si>
  <si>
    <t>SP 131</t>
  </si>
  <si>
    <t>Smoke Alarm</t>
  </si>
  <si>
    <t>SA 25</t>
  </si>
  <si>
    <t>SA 55</t>
  </si>
  <si>
    <t>Motion Detector</t>
  </si>
  <si>
    <t>MD 101</t>
  </si>
  <si>
    <t>Faceplate</t>
  </si>
  <si>
    <t>FP 100</t>
  </si>
  <si>
    <t>FP 200</t>
  </si>
  <si>
    <t>Adapter Kit</t>
  </si>
  <si>
    <t>AK 300</t>
  </si>
  <si>
    <t>Totals</t>
  </si>
  <si>
    <t>Averages</t>
  </si>
  <si>
    <t>Difference</t>
  </si>
  <si>
    <t>Income Analysis for the Doorbell Cam 100</t>
  </si>
  <si>
    <t>Revenue</t>
  </si>
  <si>
    <t>Units Sold</t>
  </si>
  <si>
    <t>Units sold</t>
  </si>
  <si>
    <t>Price per unit</t>
  </si>
  <si>
    <t>Total revenue</t>
  </si>
  <si>
    <t>Variable Expenses</t>
  </si>
  <si>
    <t>Units produced</t>
  </si>
  <si>
    <t>Material cost per unit</t>
  </si>
  <si>
    <t>Total material cost</t>
  </si>
  <si>
    <t>Manufacturing cost per unit</t>
  </si>
  <si>
    <t>Total manufacturing cost</t>
  </si>
  <si>
    <t>Total variable expenses</t>
  </si>
  <si>
    <t>Fixed Expenses</t>
  </si>
  <si>
    <t>Payroll</t>
  </si>
  <si>
    <t>Shipping and distribution</t>
  </si>
  <si>
    <t>Storage</t>
  </si>
  <si>
    <t>Miscellaneous</t>
  </si>
  <si>
    <t>Total fixed expenses</t>
  </si>
  <si>
    <t>Summary</t>
  </si>
  <si>
    <t>Total expenses</t>
  </si>
  <si>
    <t>Net income</t>
  </si>
  <si>
    <t>Expenses</t>
  </si>
  <si>
    <t>Net Income</t>
  </si>
  <si>
    <t>Las Vegas</t>
  </si>
  <si>
    <t>Orlando</t>
  </si>
  <si>
    <t>Chicago</t>
  </si>
  <si>
    <t>Cost per lead</t>
  </si>
  <si>
    <t>Sales leads per promotion</t>
  </si>
  <si>
    <t>Cost per promotion</t>
  </si>
  <si>
    <t>Promotions run</t>
  </si>
  <si>
    <t>Total leads</t>
  </si>
  <si>
    <t>Total cost</t>
  </si>
  <si>
    <t>Trade Show Promotion Analysis</t>
  </si>
  <si>
    <t>Links</t>
  </si>
  <si>
    <t>Porter website</t>
  </si>
  <si>
    <t>Contact Porter</t>
  </si>
  <si>
    <t>Orders per Region</t>
  </si>
  <si>
    <t>Camera</t>
  </si>
  <si>
    <t>Product Orders: May</t>
  </si>
  <si>
    <t>Tamiko</t>
  </si>
  <si>
    <t>Yoshi</t>
  </si>
  <si>
    <t>3250 N. Lincoln Dr.</t>
  </si>
  <si>
    <t>(312) 555-2873</t>
  </si>
  <si>
    <t>IL</t>
  </si>
  <si>
    <t>t.yoshi@example.net</t>
  </si>
  <si>
    <t>Row Labels</t>
  </si>
  <si>
    <t>Grand Total</t>
  </si>
  <si>
    <t>Column Labels</t>
  </si>
  <si>
    <t>Total Sales</t>
  </si>
  <si>
    <t>Average Sales</t>
  </si>
  <si>
    <t>Increased price</t>
  </si>
  <si>
    <t>Current Price</t>
  </si>
  <si>
    <t>Floodlight Total</t>
  </si>
  <si>
    <t>Doorbell Total</t>
  </si>
  <si>
    <t>Camera Total</t>
  </si>
  <si>
    <t>Amberson</t>
  </si>
  <si>
    <t>Chang</t>
  </si>
  <si>
    <t>Federson</t>
  </si>
  <si>
    <t>Garcia</t>
  </si>
  <si>
    <t>Gupta</t>
  </si>
  <si>
    <t>Hermanez</t>
  </si>
  <si>
    <t>Hilliard</t>
  </si>
  <si>
    <t>Hopkins</t>
  </si>
  <si>
    <t>Martinez</t>
  </si>
  <si>
    <t>McCloskey</t>
  </si>
  <si>
    <t>Mitrov</t>
  </si>
  <si>
    <t>Nelson</t>
  </si>
  <si>
    <t>Riccio</t>
  </si>
  <si>
    <t>Rodgerio</t>
  </si>
  <si>
    <t>Sanderson</t>
  </si>
  <si>
    <t>Suarez</t>
  </si>
  <si>
    <t>Watanabe</t>
  </si>
  <si>
    <t>Sum of TotalSales</t>
  </si>
  <si>
    <t>Bin</t>
  </si>
  <si>
    <t>More</t>
  </si>
  <si>
    <t>Frequency</t>
  </si>
  <si>
    <t>Cumulative %</t>
  </si>
  <si>
    <t>Units_sold</t>
  </si>
  <si>
    <t>Price_per_unit</t>
  </si>
  <si>
    <t>Shipping_and_distribution</t>
  </si>
  <si>
    <t>Net_income</t>
  </si>
  <si>
    <t>Expansion</t>
  </si>
  <si>
    <t>Created by Your Name on 8/11/2019</t>
  </si>
  <si>
    <t>Raise Price</t>
  </si>
  <si>
    <t>Created by Matthew Arceneaux on 12/8/2024</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</si>
  <si>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</si>
  <si>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</si>
  <si>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</si>
  <si>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</si>
  <si>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</si>
  <si>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</si>
  <si>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</si>
  <si>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Microsoft Excel 16.0 Answer Report</t>
  </si>
  <si>
    <t>Worksheet: [SC_EX365_2021_CS8-11a_MatthewArceneaux_2.xlsm]Trade Shows</t>
  </si>
  <si>
    <t>Report Created: 12/8/2024 10:38:06 AM</t>
  </si>
  <si>
    <t>Result: Solver found an integer solution within tolerance.  All Constraints are satisfied.</t>
  </si>
  <si>
    <t>Solver Engine</t>
  </si>
  <si>
    <t>Engine: Simplex LP</t>
  </si>
  <si>
    <t>Solution Time: 0.047 Seconds.</t>
  </si>
  <si>
    <t>Iterations: 0 Subproblems: 30</t>
  </si>
  <si>
    <t>Solver Options</t>
  </si>
  <si>
    <t>Max Time Unlimited,  Iterations Unlimited, Precision 0.000001</t>
  </si>
  <si>
    <t>Max Subproblems Unlimited, Max Integer Sols Unlimited, Integer Tolerance 1%, Assume NonNegative</t>
  </si>
  <si>
    <t>Objective Cell (Value Of)</t>
  </si>
  <si>
    <t>Cell</t>
  </si>
  <si>
    <t>Name</t>
  </si>
  <si>
    <t>Original Value</t>
  </si>
  <si>
    <t>Final Value</t>
  </si>
  <si>
    <t>Variable Cells</t>
  </si>
  <si>
    <t>Integer</t>
  </si>
  <si>
    <t>Constraints</t>
  </si>
  <si>
    <t>Cell Value</t>
  </si>
  <si>
    <t>Formula</t>
  </si>
  <si>
    <t>Status</t>
  </si>
  <si>
    <t>Slack</t>
  </si>
  <si>
    <t>$E$11</t>
  </si>
  <si>
    <t>Total_promotion_cost</t>
  </si>
  <si>
    <t>$B$9</t>
  </si>
  <si>
    <t>Chicago_promotions</t>
  </si>
  <si>
    <t>$C$9</t>
  </si>
  <si>
    <t>Las_Vegas_promotions</t>
  </si>
  <si>
    <t>$D$9</t>
  </si>
  <si>
    <t>Orlando_promotions</t>
  </si>
  <si>
    <t>$E$11=98000</t>
  </si>
  <si>
    <t>Binding</t>
  </si>
  <si>
    <t>$B$9&gt;=0</t>
  </si>
  <si>
    <t>$C$9&gt;=0</t>
  </si>
  <si>
    <t>Not Binding</t>
  </si>
  <si>
    <t>$D$9&gt;=0</t>
  </si>
  <si>
    <t>$B$9&lt;=4</t>
  </si>
  <si>
    <t>$C$9&lt;=4</t>
  </si>
  <si>
    <t>$D$9&lt;=4</t>
  </si>
  <si>
    <t>$B$9:$D$9=Integer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</si>
</sst>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43" formatCode="_(* #,##0.00_);_(* \(#,##0.00\);_(* &quot;-&quot;??_);_(@_)"/>
    <numFmt numFmtId="164" formatCode="&quot;$&quot;#,##0.00"/>
    <numFmt numFmtId="165" formatCode="&quot;$&quot;#,##0"/>
    <numFmt numFmtId="166" formatCode="_(&quot;$&quot;* #,##0_);_(&quot;$&quot;* \(#,##0\);_(&quot;$&quot;* &quot;-&quot;??_);_(@_)"/>
    <numFmt numFmtId="167" formatCode="_(* #,##0_);_(* \(#,##0\);_(* &quot;-&quot;??_);_(@_)"/>
    <numFmt numFmtId="173" formatCode="\$#,##0.00;\(\$#,##0.00\);\$#,##0.00"/>
  </numFmts>
  <fonts count="36">
    <font>
      <sz val="11"/>
      <color theme="1"/>
      <name val="Lucida Grande"/>
      <family val="2"/>
      <scheme val="minor"/>
    </font>
    <font>
      <sz val="11"/>
      <color theme="1"/>
      <name val="Lucida Grande"/>
      <family val="2"/>
      <scheme val="minor"/>
    </font>
    <font>
      <sz val="18"/>
      <color theme="3"/>
      <name val="Calibri Light"/>
      <family val="2"/>
      <scheme val="major"/>
    </font>
    <font>
      <sz val="10"/>
      <name val="Arial"/>
      <family val="2"/>
    </font>
    <font>
      <sz val="10"/>
      <color theme="0"/>
      <name val="Century Gothic"/>
      <family val="2"/>
    </font>
    <font>
      <sz val="10"/>
      <name val="Century Gothic"/>
      <family val="2"/>
    </font>
    <font>
      <sz val="28"/>
      <color rgb="FF0070C0"/>
      <name val="Century Gothic"/>
      <family val="2"/>
    </font>
    <font>
      <sz val="10"/>
      <color rgb="FF0070C0"/>
      <name val="Century Gothic"/>
      <family val="2"/>
    </font>
    <font>
      <sz val="11"/>
      <color rgb="FF000000"/>
      <name val="Century Gothic"/>
      <family val="2"/>
    </font>
    <font>
      <sz val="11"/>
      <color rgb="FF4B4C4C"/>
      <name val="Century Gothic"/>
      <family val="2"/>
    </font>
    <font>
      <i/>
      <sz val="10"/>
      <color rgb="FFCC6600"/>
      <name val="Century Gothic"/>
      <family val="2"/>
    </font>
    <font>
      <i/>
      <sz val="10"/>
      <name val="Century Gothic"/>
      <family val="2"/>
    </font>
    <font>
      <sz val="22"/>
      <color theme="3"/>
      <name val="Calibri Light"/>
      <family val="2"/>
      <scheme val="major"/>
    </font>
    <font>
      <sz val="11"/>
      <color theme="1"/>
      <name val="Calibri Light"/>
      <family val="2"/>
      <scheme val="major"/>
    </font>
    <font>
      <sz val="11"/>
      <color theme="1" tint="0.249977111117893"/>
      <name val="Calibri Light"/>
      <family val="2"/>
      <scheme val="major"/>
    </font>
    <font>
      <sz val="11"/>
      <color theme="1" tint="0.14999847407452621"/>
      <name val="Calibri Light"/>
      <family val="2"/>
      <scheme val="major"/>
    </font>
    <font>
      <i/>
      <sz val="11"/>
      <color theme="1" tint="0.14999847407452621"/>
      <name val="Calibri Light"/>
      <family val="2"/>
      <scheme val="major"/>
    </font>
    <font>
      <sz val="11"/>
      <color theme="1"/>
      <name val="Lucida Grande"/>
      <family val="2"/>
      <scheme val="minor"/>
    </font>
    <font>
      <sz val="11"/>
      <color rgb="FF000000"/>
      <name val="Calibri Light"/>
      <family val="2"/>
    </font>
    <font>
      <sz val="8"/>
      <color rgb="FF000000"/>
      <name val="Segoe UI"/>
      <family val="2"/>
    </font>
    <font>
      <b/>
      <sz val="11"/>
      <color theme="0"/>
      <name val="Lucida Grande"/>
      <family val="2"/>
      <scheme val="minor"/>
    </font>
    <font>
      <sz val="11"/>
      <color theme="0"/>
      <name val="Lucida Grande"/>
      <family val="2"/>
      <scheme val="minor"/>
    </font>
    <font>
      <sz val="12"/>
      <color theme="0"/>
      <name val="Lucida Grande"/>
      <family val="2"/>
      <scheme val="minor"/>
    </font>
    <font>
      <b/>
      <sz val="11"/>
      <color theme="1"/>
      <name val="Lucida Grande"/>
      <family val="2"/>
      <scheme val="minor"/>
    </font>
    <font>
      <sz val="12"/>
      <color theme="1"/>
      <name val="Calibri Light"/>
      <family val="2"/>
      <scheme val="major"/>
    </font>
    <font>
      <sz val="14"/>
      <color theme="1"/>
      <name val="Calibri Light"/>
      <family val="2"/>
      <scheme val="major"/>
    </font>
    <font>
      <u/>
      <sz val="11"/>
      <color theme="10"/>
      <name val="Lucida Grande"/>
      <family val="2"/>
      <scheme val="minor"/>
    </font>
    <font>
      <sz val="11"/>
      <color rgb="FF000000"/>
      <name val="Lucida Grande"/>
    </font>
    <font>
      <sz val="11"/>
      <color theme="1"/>
      <name val="Lucida Grande"/>
      <scheme val="minor"/>
    </font>
    <font>
      <i/>
      <sz val="11"/>
      <color theme="1"/>
      <name val="Lucida Grande"/>
      <family val="2"/>
      <scheme val="minor"/>
    </font>
    <font>
      <b/>
      <sz val="12"/>
      <color indexed="9"/>
      <name val="Lucida Grande"/>
      <family val="2"/>
      <scheme val="minor"/>
    </font>
    <font>
      <b/>
      <sz val="11"/>
      <color indexed="8"/>
      <name val="Lucida Grande"/>
      <family val="2"/>
      <scheme val="minor"/>
    </font>
    <font>
      <b/>
      <sz val="11"/>
      <color indexed="18"/>
      <name val="Lucida Grande"/>
      <family val="2"/>
      <scheme val="minor"/>
    </font>
    <font>
      <sz val="10"/>
      <color indexed="9"/>
      <name val="Lucida Grande"/>
      <family val="2"/>
      <scheme val="minor"/>
    </font>
    <font>
      <sz val="8"/>
      <color theme="1"/>
      <name val="Lucida Grande"/>
      <scheme val="minor"/>
    </font>
    <font>
      <b/>
      <sz val="11"/>
      <color theme="1"/>
      <name val="Lucida Grande"/>
      <scheme val="minor"/>
    </font>
  </fonts>
  <fills count="13">
    <fill>
      <patternFill patternType="none"/>
    </fill>
    <fill>
      <patternFill patternType="gray125"/>
    </fill>
    <fill>
      <patternFill patternType="solid">
        <fgColor theme="8" tint="0.59999389629810485"/>
        <bgColor indexed="65"/>
      </patternFill>
    </fill>
    <fill>
      <patternFill patternType="solid">
        <fgColor theme="0"/>
        <bgColor indexed="64"/>
      </patternFill>
    </fill>
    <fill>
      <patternFill patternType="solid">
        <fgColor theme="0"/>
        <bgColor theme="0"/>
      </patternFill>
    </fill>
    <fill>
      <patternFill patternType="solid">
        <fgColor theme="8" tint="0.59999389629810485"/>
        <bgColor indexed="64"/>
      </patternFill>
    </fill>
    <fill>
      <patternFill patternType="solid">
        <fgColor theme="8"/>
      </patternFill>
    </fill>
    <fill>
      <patternFill patternType="solid">
        <fgColor theme="8" tint="0.79998168889431442"/>
        <bgColor theme="8" tint="0.79998168889431442"/>
      </patternFill>
    </fill>
    <fill>
      <patternFill patternType="solid">
        <fgColor theme="8"/>
        <bgColor theme="8"/>
      </patternFill>
    </fill>
    <fill>
      <patternFill patternType="solid">
        <fgColor theme="8" tint="0.79998168889431442"/>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36">
    <border>
      <left/>
      <right/>
      <top/>
      <bottom/>
      <diagonal/>
    </border>
    <border>
      <left/>
      <right style="thick">
        <color rgb="FF93A5B2"/>
      </right>
      <top/>
      <bottom/>
      <diagonal/>
    </border>
    <border>
      <left/>
      <right/>
      <top/>
      <bottom style="thin">
        <color rgb="FF93A5B2"/>
      </bottom>
      <diagonal/>
    </border>
    <border>
      <left/>
      <right/>
      <top/>
      <bottom style="thick">
        <color rgb="FF93A5B2"/>
      </bottom>
      <diagonal/>
    </border>
    <border>
      <left/>
      <right style="thick">
        <color rgb="FF93A5B2"/>
      </right>
      <top/>
      <bottom style="thick">
        <color rgb="FF93A5B2"/>
      </bottom>
      <diagonal/>
    </border>
    <border>
      <left/>
      <right/>
      <top/>
      <bottom style="thin">
        <color theme="1" tint="0.499984740745262"/>
      </bottom>
      <diagonal/>
    </border>
    <border>
      <left/>
      <right/>
      <top style="thin">
        <color theme="1" tint="0.499984740745262"/>
      </top>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theme="8" tint="0.39994506668294322"/>
      </left>
      <right style="thin">
        <color theme="8" tint="0.39997558519241921"/>
      </right>
      <top style="thin">
        <color theme="8" tint="0.39997558519241921"/>
      </top>
      <bottom style="thin">
        <color theme="8" tint="0.39997558519241921"/>
      </bottom>
      <diagonal/>
    </border>
    <border>
      <left style="thin">
        <color theme="8" tint="0.39994506668294322"/>
      </left>
      <right/>
      <top style="thin">
        <color theme="8" tint="0.39997558519241921"/>
      </top>
      <bottom style="thin">
        <color theme="8" tint="0.39997558519241921"/>
      </bottom>
      <diagonal/>
    </border>
    <border>
      <left/>
      <right style="thin">
        <color theme="8" tint="0.39994506668294322"/>
      </right>
      <top style="thin">
        <color theme="8" tint="0.39997558519241921"/>
      </top>
      <bottom style="thin">
        <color theme="8" tint="0.39997558519241921"/>
      </bottom>
      <diagonal/>
    </border>
    <border>
      <left/>
      <right/>
      <top style="thin">
        <color theme="4"/>
      </top>
      <bottom style="double">
        <color theme="4"/>
      </bottom>
      <diagonal/>
    </border>
    <border>
      <left/>
      <right/>
      <top style="thin">
        <color theme="8"/>
      </top>
      <bottom style="double">
        <color theme="8"/>
      </bottom>
      <diagonal/>
    </border>
    <border>
      <left/>
      <right/>
      <top style="double">
        <color theme="8"/>
      </top>
      <bottom style="double">
        <color theme="8"/>
      </bottom>
      <diagonal/>
    </border>
    <border>
      <left/>
      <right/>
      <top/>
      <bottom style="thin">
        <color theme="8"/>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style="thin">
        <color theme="8"/>
      </left>
      <right/>
      <top/>
      <bottom style="thin">
        <color theme="8"/>
      </bottom>
      <diagonal/>
    </border>
    <border>
      <left/>
      <right style="thin">
        <color theme="8"/>
      </right>
      <top/>
      <bottom style="thin">
        <color theme="8"/>
      </bottom>
      <diagonal/>
    </border>
    <border>
      <left style="thin">
        <color theme="8"/>
      </left>
      <right/>
      <top/>
      <bottom/>
      <diagonal/>
    </border>
    <border>
      <left/>
      <right style="thin">
        <color theme="8"/>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style="thin">
        <color theme="8" tint="0.39994506668294322"/>
      </left>
      <right/>
      <top style="thin">
        <color theme="8" tint="0.39997558519241921"/>
      </top>
      <bottom style="thin">
        <color theme="8" tint="0.39994506668294322"/>
      </bottom>
      <diagonal/>
    </border>
    <border>
      <left/>
      <right style="thin">
        <color theme="8" tint="0.39994506668294322"/>
      </right>
      <top style="thin">
        <color theme="8" tint="0.39997558519241921"/>
      </top>
      <bottom style="thin">
        <color theme="8" tint="0.39994506668294322"/>
      </bottom>
      <diagonal/>
    </border>
    <border>
      <left/>
      <right/>
      <top/>
      <bottom style="double">
        <color theme="8"/>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right/>
      <top style="medium">
        <color indexed="64"/>
      </top>
      <bottom style="thin">
        <color indexed="64"/>
      </bottom>
      <diagonal/>
    </border>
    <border>
      <left/>
      <right/>
      <top/>
      <bottom style="thin">
        <color indexed="64"/>
      </bottom>
      <diagonal/>
    </border>
    <border>
      <left/>
      <right/>
      <top style="medium">
        <color indexed="23"/>
      </top>
      <bottom style="medium">
        <color indexed="23"/>
      </bottom>
      <diagonal/>
    </border>
    <border>
      <left/>
      <right/>
      <top style="thin">
        <color indexed="23"/>
      </top>
      <bottom style="medium">
        <color indexed="23"/>
      </bottom>
      <diagonal/>
    </border>
    <border>
      <left/>
      <right/>
      <top style="thin">
        <color indexed="23"/>
      </top>
      <bottom/>
      <diagonal/>
    </border>
  </borders>
  <cellStyleXfs count="12">
    <xf numFmtId="0" fontId="0" fillId="0" borderId="0"/>
    <xf numFmtId="0" fontId="2" fillId="0" borderId="0" applyNumberFormat="0" applyFill="0" applyBorder="0" applyAlignment="0" applyProtection="0"/>
    <xf numFmtId="0" fontId="1" fillId="2" borderId="0" applyNumberFormat="0" applyBorder="0" applyAlignment="0" applyProtection="0"/>
    <xf numFmtId="0" fontId="3" fillId="0" borderId="0"/>
    <xf numFmtId="0" fontId="6" fillId="3" borderId="0">
      <alignment vertical="top" wrapText="1"/>
    </xf>
    <xf numFmtId="0" fontId="8" fillId="3" borderId="0">
      <alignment vertical="top" wrapText="1"/>
    </xf>
    <xf numFmtId="0" fontId="21" fillId="6"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23" fillId="0" borderId="12" applyNumberFormat="0" applyFill="0" applyAlignment="0" applyProtection="0"/>
    <xf numFmtId="0" fontId="1" fillId="0" borderId="0"/>
    <xf numFmtId="0" fontId="26" fillId="0" borderId="0" applyNumberFormat="0" applyFill="0" applyBorder="0" applyAlignment="0" applyProtection="0"/>
  </cellStyleXfs>
  <cellXfs count="137">
    <xf numFmtId="0" fontId="0" fillId="0" borderId="0" xfId="0"/>
    <xf numFmtId="0" fontId="5" fillId="3" borderId="1" xfId="3" applyFont="1" applyFill="1" applyBorder="1" applyAlignment="1">
      <alignment horizontal="left"/>
    </xf>
    <xf numFmtId="0" fontId="6" fillId="3" borderId="0" xfId="4" applyAlignment="1">
      <alignment horizontal="left" vertical="top" wrapText="1"/>
    </xf>
    <xf numFmtId="0" fontId="7" fillId="3" borderId="1" xfId="3" applyFont="1" applyFill="1" applyBorder="1" applyAlignment="1">
      <alignment horizontal="left" wrapText="1"/>
    </xf>
    <xf numFmtId="0" fontId="9" fillId="3" borderId="0" xfId="5" applyFont="1" applyAlignment="1">
      <alignment horizontal="left" vertical="top" wrapText="1"/>
    </xf>
    <xf numFmtId="0" fontId="10" fillId="4" borderId="2" xfId="3" applyFont="1" applyFill="1" applyBorder="1" applyAlignment="1">
      <alignment horizontal="left"/>
    </xf>
    <xf numFmtId="0" fontId="0" fillId="5" borderId="0" xfId="0" applyFill="1"/>
    <xf numFmtId="0" fontId="0" fillId="3" borderId="6" xfId="0" applyFill="1" applyBorder="1"/>
    <xf numFmtId="0" fontId="0" fillId="3" borderId="0" xfId="0" applyFill="1"/>
    <xf numFmtId="0" fontId="0" fillId="3" borderId="5" xfId="0" applyFill="1" applyBorder="1"/>
    <xf numFmtId="0" fontId="0" fillId="3" borderId="0" xfId="0" applyFill="1" applyAlignment="1">
      <alignment horizontal="right"/>
    </xf>
    <xf numFmtId="0" fontId="0" fillId="3" borderId="5" xfId="0" applyFill="1" applyBorder="1" applyAlignment="1">
      <alignment horizontal="right"/>
    </xf>
    <xf numFmtId="0" fontId="15" fillId="5" borderId="0" xfId="0" applyFont="1" applyFill="1"/>
    <xf numFmtId="0" fontId="14" fillId="5" borderId="0" xfId="0" applyFont="1" applyFill="1" applyAlignment="1">
      <alignment horizontal="left"/>
    </xf>
    <xf numFmtId="0" fontId="15" fillId="5" borderId="0" xfId="0" applyFont="1" applyFill="1" applyAlignment="1">
      <alignment horizontal="center"/>
    </xf>
    <xf numFmtId="0" fontId="16" fillId="5" borderId="0" xfId="0" applyFont="1" applyFill="1"/>
    <xf numFmtId="0" fontId="1" fillId="2" borderId="0" xfId="2"/>
    <xf numFmtId="0" fontId="13" fillId="3" borderId="0" xfId="0" applyFont="1" applyFill="1"/>
    <xf numFmtId="0" fontId="13" fillId="3" borderId="5" xfId="0" applyFont="1" applyFill="1" applyBorder="1"/>
    <xf numFmtId="0" fontId="13" fillId="3" borderId="0" xfId="0" applyFont="1" applyFill="1" applyAlignment="1">
      <alignment horizontal="left"/>
    </xf>
    <xf numFmtId="0" fontId="17" fillId="0" borderId="0" xfId="0" applyFont="1"/>
    <xf numFmtId="0" fontId="0" fillId="0" borderId="0" xfId="0" applyAlignment="1">
      <alignment horizontal="center"/>
    </xf>
    <xf numFmtId="164" fontId="0" fillId="0" borderId="0" xfId="0" applyNumberFormat="1"/>
    <xf numFmtId="165" fontId="0" fillId="0" borderId="0" xfId="0" applyNumberFormat="1"/>
    <xf numFmtId="0" fontId="22" fillId="6" borderId="0" xfId="6" applyFont="1" applyAlignment="1">
      <alignment horizontal="center"/>
    </xf>
    <xf numFmtId="165" fontId="0" fillId="0" borderId="0" xfId="0" applyNumberFormat="1" applyAlignment="1">
      <alignment horizontal="center"/>
    </xf>
    <xf numFmtId="0" fontId="20" fillId="8" borderId="7" xfId="0" applyFont="1" applyFill="1" applyBorder="1"/>
    <xf numFmtId="0" fontId="20" fillId="8" borderId="8" xfId="0" applyFont="1" applyFill="1" applyBorder="1"/>
    <xf numFmtId="14" fontId="0" fillId="0" borderId="0" xfId="0" applyNumberFormat="1"/>
    <xf numFmtId="0" fontId="20" fillId="8" borderId="9" xfId="0" applyFont="1" applyFill="1" applyBorder="1" applyAlignment="1">
      <alignment horizontal="center"/>
    </xf>
    <xf numFmtId="0" fontId="0" fillId="7" borderId="9" xfId="0" applyFill="1" applyBorder="1" applyAlignment="1">
      <alignment horizontal="center"/>
    </xf>
    <xf numFmtId="0" fontId="0" fillId="0" borderId="9" xfId="0" applyBorder="1" applyAlignment="1">
      <alignment horizontal="center"/>
    </xf>
    <xf numFmtId="0" fontId="0" fillId="7" borderId="10" xfId="0" applyFill="1" applyBorder="1"/>
    <xf numFmtId="0" fontId="0" fillId="7" borderId="11" xfId="0" applyFill="1" applyBorder="1"/>
    <xf numFmtId="0" fontId="0" fillId="0" borderId="10" xfId="0" applyBorder="1"/>
    <xf numFmtId="0" fontId="0" fillId="0" borderId="11" xfId="0" applyBorder="1"/>
    <xf numFmtId="0" fontId="23" fillId="0" borderId="13" xfId="9" applyBorder="1"/>
    <xf numFmtId="0" fontId="23" fillId="0" borderId="13" xfId="9" applyBorder="1" applyAlignment="1">
      <alignment horizontal="right"/>
    </xf>
    <xf numFmtId="165" fontId="23" fillId="0" borderId="13" xfId="9" applyNumberFormat="1" applyBorder="1" applyAlignment="1">
      <alignment horizontal="center"/>
    </xf>
    <xf numFmtId="0" fontId="23" fillId="0" borderId="14" xfId="9" applyBorder="1"/>
    <xf numFmtId="0" fontId="23" fillId="0" borderId="14" xfId="9" applyBorder="1" applyAlignment="1">
      <alignment horizontal="right"/>
    </xf>
    <xf numFmtId="165" fontId="23" fillId="0" borderId="14" xfId="9" applyNumberFormat="1" applyBorder="1" applyAlignment="1">
      <alignment horizontal="center"/>
    </xf>
    <xf numFmtId="165" fontId="23" fillId="0" borderId="14" xfId="9" applyNumberFormat="1" applyBorder="1"/>
    <xf numFmtId="0" fontId="21" fillId="6" borderId="0" xfId="6"/>
    <xf numFmtId="0" fontId="23" fillId="9" borderId="13" xfId="9" applyFill="1" applyBorder="1"/>
    <xf numFmtId="166" fontId="23" fillId="9" borderId="13" xfId="8" applyNumberFormat="1" applyFont="1" applyFill="1" applyBorder="1"/>
    <xf numFmtId="167" fontId="0" fillId="0" borderId="0" xfId="7" applyNumberFormat="1" applyFont="1"/>
    <xf numFmtId="0" fontId="0" fillId="9" borderId="0" xfId="0" applyFill="1"/>
    <xf numFmtId="165" fontId="0" fillId="0" borderId="0" xfId="7" applyNumberFormat="1" applyFont="1"/>
    <xf numFmtId="165" fontId="0" fillId="9" borderId="0" xfId="0" applyNumberFormat="1" applyFill="1"/>
    <xf numFmtId="166" fontId="0" fillId="0" borderId="0" xfId="8" applyNumberFormat="1" applyFont="1"/>
    <xf numFmtId="166" fontId="0" fillId="9" borderId="15" xfId="8" applyNumberFormat="1" applyFont="1" applyFill="1" applyBorder="1"/>
    <xf numFmtId="0" fontId="21" fillId="6" borderId="0" xfId="6" applyAlignment="1">
      <alignment horizontal="center"/>
    </xf>
    <xf numFmtId="0" fontId="21" fillId="6" borderId="16" xfId="6" applyBorder="1" applyAlignment="1">
      <alignment horizontal="center"/>
    </xf>
    <xf numFmtId="0" fontId="21" fillId="6" borderId="17" xfId="6" applyBorder="1" applyAlignment="1">
      <alignment horizontal="center"/>
    </xf>
    <xf numFmtId="0" fontId="21" fillId="6" borderId="18" xfId="6" applyBorder="1" applyAlignment="1">
      <alignment horizontal="center"/>
    </xf>
    <xf numFmtId="167" fontId="0" fillId="9" borderId="19" xfId="7" applyNumberFormat="1" applyFont="1" applyFill="1" applyBorder="1"/>
    <xf numFmtId="166" fontId="0" fillId="9" borderId="20" xfId="8" applyNumberFormat="1" applyFont="1" applyFill="1" applyBorder="1"/>
    <xf numFmtId="167" fontId="0" fillId="0" borderId="21" xfId="7" applyNumberFormat="1" applyFont="1" applyBorder="1"/>
    <xf numFmtId="167" fontId="0" fillId="0" borderId="0" xfId="7" applyNumberFormat="1" applyFont="1" applyBorder="1"/>
    <xf numFmtId="167" fontId="0" fillId="0" borderId="22" xfId="7" applyNumberFormat="1" applyFont="1" applyBorder="1"/>
    <xf numFmtId="167" fontId="0" fillId="0" borderId="19" xfId="7" applyNumberFormat="1" applyFont="1" applyBorder="1"/>
    <xf numFmtId="167" fontId="0" fillId="0" borderId="15" xfId="7" applyNumberFormat="1" applyFont="1" applyBorder="1"/>
    <xf numFmtId="167" fontId="0" fillId="0" borderId="20" xfId="7" applyNumberFormat="1" applyFont="1" applyBorder="1"/>
    <xf numFmtId="44" fontId="0" fillId="0" borderId="0" xfId="8" applyFont="1"/>
    <xf numFmtId="43" fontId="0" fillId="0" borderId="0" xfId="0" applyNumberFormat="1"/>
    <xf numFmtId="0" fontId="0" fillId="0" borderId="17" xfId="0" applyBorder="1"/>
    <xf numFmtId="1" fontId="0" fillId="0" borderId="17" xfId="7" applyNumberFormat="1" applyFont="1" applyBorder="1"/>
    <xf numFmtId="1" fontId="0" fillId="0" borderId="17" xfId="0" applyNumberFormat="1" applyBorder="1"/>
    <xf numFmtId="1" fontId="0" fillId="0" borderId="0" xfId="7" applyNumberFormat="1" applyFont="1"/>
    <xf numFmtId="0" fontId="24" fillId="3" borderId="0" xfId="0" applyFont="1" applyFill="1" applyAlignment="1">
      <alignment horizontal="center"/>
    </xf>
    <xf numFmtId="165" fontId="0" fillId="7" borderId="11" xfId="0" applyNumberFormat="1" applyFill="1" applyBorder="1"/>
    <xf numFmtId="165" fontId="0" fillId="0" borderId="11" xfId="0" applyNumberFormat="1" applyBorder="1"/>
    <xf numFmtId="0" fontId="0" fillId="7" borderId="25" xfId="0" applyFill="1" applyBorder="1"/>
    <xf numFmtId="165" fontId="0" fillId="7" borderId="26" xfId="0" applyNumberFormat="1" applyFill="1" applyBorder="1"/>
    <xf numFmtId="0" fontId="13" fillId="5" borderId="0" xfId="0" applyFont="1" applyFill="1"/>
    <xf numFmtId="165" fontId="23" fillId="0" borderId="27" xfId="9" applyNumberFormat="1" applyBorder="1"/>
    <xf numFmtId="165" fontId="0" fillId="0" borderId="15" xfId="0" applyNumberFormat="1" applyBorder="1"/>
    <xf numFmtId="0" fontId="3" fillId="0" borderId="0" xfId="3"/>
    <xf numFmtId="0" fontId="5" fillId="0" borderId="0" xfId="3" applyFont="1" applyAlignment="1">
      <alignment vertical="center"/>
    </xf>
    <xf numFmtId="0" fontId="1" fillId="0" borderId="0" xfId="10"/>
    <xf numFmtId="0" fontId="5" fillId="3" borderId="0" xfId="3" applyFont="1" applyFill="1" applyAlignment="1">
      <alignment horizontal="left"/>
    </xf>
    <xf numFmtId="0" fontId="3" fillId="0" borderId="0" xfId="3" applyAlignment="1">
      <alignment wrapText="1"/>
    </xf>
    <xf numFmtId="0" fontId="5" fillId="3" borderId="0" xfId="3" applyFont="1" applyFill="1" applyAlignment="1">
      <alignment horizontal="right"/>
    </xf>
    <xf numFmtId="0" fontId="26" fillId="3" borderId="0" xfId="11" applyFill="1" applyAlignment="1">
      <alignment horizontal="center"/>
    </xf>
    <xf numFmtId="0" fontId="4" fillId="0" borderId="0" xfId="3" applyFont="1" applyAlignment="1">
      <alignment horizontal="left" vertical="center" indent="7"/>
    </xf>
    <xf numFmtId="0" fontId="4" fillId="0" borderId="1" xfId="3" applyFont="1" applyBorder="1" applyAlignment="1">
      <alignment horizontal="left" vertical="center" indent="7"/>
    </xf>
    <xf numFmtId="0" fontId="11" fillId="3" borderId="0" xfId="3" applyFont="1" applyFill="1" applyAlignment="1">
      <alignment horizontal="center" vertical="center" wrapText="1"/>
    </xf>
    <xf numFmtId="0" fontId="11" fillId="3" borderId="1" xfId="3" applyFont="1" applyFill="1" applyBorder="1" applyAlignment="1">
      <alignment horizontal="center" vertical="center" wrapText="1"/>
    </xf>
    <xf numFmtId="0" fontId="11" fillId="3" borderId="3" xfId="3" applyFont="1" applyFill="1" applyBorder="1" applyAlignment="1">
      <alignment horizontal="center" vertical="center" wrapText="1"/>
    </xf>
    <xf numFmtId="0" fontId="11" fillId="3" borderId="4" xfId="3" applyFont="1" applyFill="1" applyBorder="1" applyAlignment="1">
      <alignment horizontal="center" vertical="center" wrapText="1"/>
    </xf>
    <xf numFmtId="0" fontId="12" fillId="3" borderId="0" xfId="1" applyFont="1" applyFill="1" applyBorder="1" applyAlignment="1">
      <alignment horizontal="center"/>
    </xf>
    <xf numFmtId="0" fontId="2" fillId="3" borderId="5" xfId="1" applyFill="1" applyBorder="1" applyAlignment="1">
      <alignment horizontal="center"/>
    </xf>
    <xf numFmtId="0" fontId="0" fillId="3" borderId="5" xfId="0" applyFill="1" applyBorder="1" applyAlignment="1">
      <alignment horizontal="right"/>
    </xf>
    <xf numFmtId="0" fontId="13" fillId="3" borderId="0" xfId="0" applyFont="1" applyFill="1"/>
    <xf numFmtId="0" fontId="13" fillId="3" borderId="5" xfId="0" applyFont="1" applyFill="1" applyBorder="1"/>
    <xf numFmtId="0" fontId="0" fillId="3" borderId="0" xfId="0" applyFill="1" applyAlignment="1">
      <alignment horizontal="right"/>
    </xf>
    <xf numFmtId="0" fontId="22" fillId="6" borderId="0" xfId="6" applyFont="1" applyAlignment="1">
      <alignment horizontal="center"/>
    </xf>
    <xf numFmtId="0" fontId="2" fillId="0" borderId="0" xfId="1" applyAlignment="1">
      <alignment horizontal="center" vertical="center"/>
    </xf>
    <xf numFmtId="0" fontId="21" fillId="6" borderId="23" xfId="6" applyBorder="1" applyAlignment="1">
      <alignment horizontal="center"/>
    </xf>
    <xf numFmtId="0" fontId="21" fillId="6" borderId="24" xfId="6" applyBorder="1" applyAlignment="1">
      <alignment horizontal="center"/>
    </xf>
    <xf numFmtId="0" fontId="25" fillId="0" borderId="0" xfId="0" applyFont="1" applyAlignment="1">
      <alignment horizontal="center"/>
    </xf>
    <xf numFmtId="0" fontId="24" fillId="0" borderId="0" xfId="0" applyFont="1" applyAlignment="1">
      <alignment horizontal="center"/>
    </xf>
    <xf numFmtId="0" fontId="28" fillId="0" borderId="0" xfId="0" applyFont="1"/>
    <xf numFmtId="0" fontId="0" fillId="0" borderId="0" xfId="0" pivotButton="1"/>
    <xf numFmtId="0" fontId="0" fillId="0" borderId="0" xfId="0" applyAlignment="1">
      <alignment horizontal="left"/>
    </xf>
    <xf numFmtId="173" fontId="0" fillId="0" borderId="0" xfId="0" applyNumberFormat="1"/>
    <xf numFmtId="0" fontId="0" fillId="0" borderId="0" xfId="0" applyNumberFormat="1" applyFill="1" applyBorder="1" applyAlignment="1"/>
    <xf numFmtId="0" fontId="0" fillId="0" borderId="0" xfId="0" applyFill="1" applyBorder="1" applyAlignment="1"/>
    <xf numFmtId="10" fontId="0" fillId="0" borderId="0" xfId="0" applyNumberFormat="1" applyFill="1" applyBorder="1" applyAlignment="1"/>
    <xf numFmtId="0" fontId="0" fillId="0" borderId="29" xfId="0" applyFill="1" applyBorder="1" applyAlignment="1"/>
    <xf numFmtId="10" fontId="0" fillId="0" borderId="29" xfId="0" applyNumberFormat="1" applyFill="1" applyBorder="1" applyAlignment="1"/>
    <xf numFmtId="0" fontId="0" fillId="0" borderId="30" xfId="0" applyFill="1" applyBorder="1" applyAlignment="1"/>
    <xf numFmtId="0" fontId="29" fillId="0" borderId="31" xfId="0" applyFont="1" applyFill="1" applyBorder="1" applyAlignment="1">
      <alignment horizontal="center"/>
    </xf>
    <xf numFmtId="167" fontId="0" fillId="0" borderId="0" xfId="0" applyNumberFormat="1" applyFill="1" applyBorder="1" applyAlignment="1"/>
    <xf numFmtId="165" fontId="0" fillId="0" borderId="0" xfId="0" applyNumberFormat="1" applyFill="1" applyBorder="1" applyAlignment="1"/>
    <xf numFmtId="166" fontId="0" fillId="0" borderId="0" xfId="0" applyNumberFormat="1" applyFill="1" applyBorder="1" applyAlignment="1"/>
    <xf numFmtId="166" fontId="0" fillId="0" borderId="29" xfId="0" applyNumberFormat="1" applyFill="1" applyBorder="1" applyAlignment="1"/>
    <xf numFmtId="0" fontId="30" fillId="10" borderId="32" xfId="0" applyFont="1" applyFill="1" applyBorder="1" applyAlignment="1">
      <alignment horizontal="left"/>
    </xf>
    <xf numFmtId="0" fontId="30" fillId="10" borderId="28" xfId="0" applyFont="1" applyFill="1" applyBorder="1" applyAlignment="1">
      <alignment horizontal="left"/>
    </xf>
    <xf numFmtId="0" fontId="31" fillId="11" borderId="0" xfId="0" applyFont="1" applyFill="1" applyBorder="1" applyAlignment="1">
      <alignment horizontal="left"/>
    </xf>
    <xf numFmtId="0" fontId="32" fillId="11" borderId="30" xfId="0" applyFont="1" applyFill="1" applyBorder="1" applyAlignment="1">
      <alignment horizontal="left"/>
    </xf>
    <xf numFmtId="0" fontId="31" fillId="11" borderId="29" xfId="0" applyFont="1" applyFill="1" applyBorder="1" applyAlignment="1">
      <alignment horizontal="left"/>
    </xf>
    <xf numFmtId="0" fontId="33" fillId="10" borderId="28" xfId="0" applyFont="1" applyFill="1" applyBorder="1" applyAlignment="1">
      <alignment horizontal="right"/>
    </xf>
    <xf numFmtId="0" fontId="33" fillId="10" borderId="32" xfId="0" applyFont="1" applyFill="1" applyBorder="1" applyAlignment="1">
      <alignment horizontal="right"/>
    </xf>
    <xf numFmtId="167" fontId="0" fillId="12" borderId="0" xfId="0" applyNumberFormat="1" applyFill="1" applyBorder="1" applyAlignment="1"/>
    <xf numFmtId="165" fontId="0" fillId="12" borderId="0" xfId="0" applyNumberFormat="1" applyFill="1" applyBorder="1" applyAlignment="1"/>
    <xf numFmtId="166" fontId="0" fillId="12" borderId="0" xfId="0" applyNumberFormat="1" applyFill="1" applyBorder="1" applyAlignment="1"/>
    <xf numFmtId="0" fontId="34" fillId="0" borderId="0" xfId="0" applyFont="1" applyFill="1" applyBorder="1" applyAlignment="1">
      <alignment vertical="top" wrapText="1"/>
    </xf>
    <xf numFmtId="0" fontId="35" fillId="0" borderId="0" xfId="0" applyFont="1"/>
    <xf numFmtId="0" fontId="0" fillId="0" borderId="34" xfId="0" applyFill="1" applyBorder="1" applyAlignment="1"/>
    <xf numFmtId="0" fontId="32" fillId="0" borderId="33" xfId="0" applyFont="1" applyFill="1" applyBorder="1" applyAlignment="1">
      <alignment horizontal="center"/>
    </xf>
    <xf numFmtId="0" fontId="0" fillId="0" borderId="35" xfId="0" applyFill="1" applyBorder="1" applyAlignment="1"/>
    <xf numFmtId="164" fontId="0" fillId="0" borderId="34" xfId="0" applyNumberFormat="1" applyFill="1" applyBorder="1" applyAlignment="1"/>
    <xf numFmtId="1" fontId="0" fillId="0" borderId="35" xfId="0" applyNumberFormat="1" applyFill="1" applyBorder="1" applyAlignment="1"/>
    <xf numFmtId="1" fontId="0" fillId="0" borderId="34" xfId="0" applyNumberFormat="1" applyFill="1" applyBorder="1" applyAlignment="1"/>
    <xf numFmtId="164" fontId="0" fillId="0" borderId="35" xfId="0" applyNumberFormat="1" applyFill="1" applyBorder="1" applyAlignment="1"/>
  </cellXfs>
  <cellStyles count="12">
    <cellStyle name="40% - Accent5" xfId="2" builtinId="47"/>
    <cellStyle name="Accent5" xfId="6" builtinId="45"/>
    <cellStyle name="Comma" xfId="7" builtinId="3"/>
    <cellStyle name="Currency" xfId="8" builtinId="4"/>
    <cellStyle name="Hyperlink" xfId="11" builtinId="8"/>
    <cellStyle name="Normal" xfId="0" builtinId="0"/>
    <cellStyle name="Normal 2 2" xfId="3" xr:uid="{00000000-0005-0000-0000-000005000000}"/>
    <cellStyle name="Normal 3 2" xfId="10" xr:uid="{9E3F1107-40B6-4EC0-B831-B979B6D7B886}"/>
    <cellStyle name="Student Name" xfId="4" xr:uid="{00000000-0005-0000-0000-000006000000}"/>
    <cellStyle name="Submission" xfId="5" xr:uid="{00000000-0005-0000-0000-000007000000}"/>
    <cellStyle name="Title" xfId="1" builtinId="15"/>
    <cellStyle name="Total" xfId="9" builtinId="25"/>
  </cellStyles>
  <dxfs count="25">
    <dxf>
      <numFmt numFmtId="165" formatCode="&quot;$&quot;#,##0"/>
    </dxf>
    <dxf>
      <numFmt numFmtId="165" formatCode="&quot;$&quot;#,##0"/>
    </dxf>
    <dxf>
      <numFmt numFmtId="164" formatCode="&quot;$&quot;#,##0.00"/>
    </dxf>
    <dxf>
      <numFmt numFmtId="165" formatCode="&quot;$&quot;#,##0"/>
    </dxf>
    <dxf>
      <numFmt numFmtId="165" formatCode="&quot;$&quot;#,##0"/>
    </dxf>
    <dxf>
      <alignment horizontal="center" vertical="bottom" textRotation="0" wrapText="0" indent="0" justifyLastLine="0" shrinkToFit="0" readingOrder="0"/>
    </dxf>
    <dxf>
      <numFmt numFmtId="19" formatCode="m/d/yyyy"/>
    </dxf>
    <dxf>
      <numFmt numFmtId="19" formatCode="m/d/yyyy"/>
    </dxf>
    <dxf>
      <alignment horizontal="center" vertical="bottom" textRotation="0" wrapText="0" indent="0" justifyLastLine="0" shrinkToFit="0" readingOrder="0"/>
    </dxf>
    <dxf>
      <numFmt numFmtId="165" formatCode="&quot;$&quot;#,##0"/>
    </dxf>
    <dxf>
      <numFmt numFmtId="165" formatCode="&quot;$&quot;#,##0"/>
    </dxf>
    <dxf>
      <numFmt numFmtId="165" formatCode="&quot;$&quot;#,##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quot;$&quot;#,##0"/>
      <fill>
        <patternFill patternType="none">
          <fgColor indexed="64"/>
          <bgColor indexed="65"/>
        </patternFill>
      </fill>
      <border diagonalUp="0" diagonalDown="0" outline="0">
        <left/>
        <right/>
        <top style="thin">
          <color theme="4"/>
        </top>
        <bottom/>
      </border>
    </dxf>
    <dxf>
      <numFmt numFmtId="165" formatCode="&quot;$&quot;#,##0"/>
      <border diagonalUp="0" diagonalDown="0" outline="0">
        <left/>
        <right/>
        <top/>
        <bottom/>
      </border>
    </dxf>
    <dxf>
      <numFmt numFmtId="165" formatCode="&quot;$&quot;#,##0"/>
    </dxf>
    <dxf>
      <numFmt numFmtId="165" formatCode="&quot;$&quot;#,##0"/>
      <border diagonalUp="0" diagonalDown="0" outline="0">
        <left/>
        <right/>
        <top/>
        <bottom/>
      </border>
    </dxf>
    <dxf>
      <numFmt numFmtId="165" formatCode="&quot;$&quot;#,##0"/>
    </dxf>
    <dxf>
      <numFmt numFmtId="165" formatCode="&quot;$&quot;#,##0"/>
      <alignment horizontal="center" vertical="bottom" textRotation="0" wrapText="0" indent="0" justifyLastLine="0" shrinkToFit="0" readingOrder="0"/>
      <border diagonalUp="0" diagonalDown="0" outline="0">
        <left/>
        <right/>
        <top/>
        <bottom/>
      </border>
    </dxf>
    <dxf>
      <numFmt numFmtId="165" formatCode="&quot;$&quot;#,##0"/>
      <alignment horizontal="center" vertical="bottom" textRotation="0" wrapText="0" indent="0" justifyLastLine="0" shrinkToFit="0" readingOrder="0"/>
    </dxf>
    <dxf>
      <border diagonalUp="0" diagonalDown="0" outline="0">
        <left/>
        <right/>
        <top/>
        <bottom/>
      </border>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1"/>
        <color theme="1" tint="0.14999847407452621"/>
        <name val="Lucida Grande"/>
        <scheme val="minor"/>
      </font>
      <alignment horizontal="center" vertical="bottom" textRotation="0" wrapText="0" indent="0" justifyLastLine="0" shrinkToFit="0" readingOrder="0"/>
    </dxf>
  </dxfs>
  <tableStyles count="1" defaultTableStyle="TableStyleMedium2" defaultPivotStyle="PivotStyleLight16">
    <tableStyle name="Invisible" pivot="0" table="0" count="0" xr9:uid="{8B6B1676-2C34-4C1C-A5F2-AFD797FA18F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haredStrings" Target="sharedStrings.xml"/><Relationship Id="rId34" Type="http://schemas.openxmlformats.org/officeDocument/2006/relationships/customXml" Target="../customXml/item10.xml"/><Relationship Id="rId42" Type="http://schemas.openxmlformats.org/officeDocument/2006/relationships/customXml" Target="../customXml/item1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tyles" Target="styles.xml"/><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17/10/relationships/person" Target="persons/person.xml"/><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powerPivotData" Target="model/item.data"/><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Year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'Sales Comparison'!$K$3</c:f>
              <c:strCache>
                <c:ptCount val="1"/>
                <c:pt idx="0">
                  <c:v>Sales</c:v>
                </c:pt>
              </c:strCache>
            </c:strRef>
          </c:tx>
          <c:spPr>
            <a:ln w="28575" cap="rnd">
              <a:solidFill>
                <a:schemeClr val="accent5"/>
              </a:solidFill>
              <a:round/>
            </a:ln>
            <a:effectLst/>
          </c:spPr>
          <c:marker>
            <c:symbol val="none"/>
          </c:marker>
          <c:trendline>
            <c:spPr>
              <a:ln w="19050" cap="rnd">
                <a:solidFill>
                  <a:schemeClr val="accent5"/>
                </a:solidFill>
                <a:prstDash val="sysDot"/>
              </a:ln>
              <a:effectLst/>
            </c:spPr>
            <c:trendlineType val="linear"/>
            <c:forward val="2"/>
            <c:dispRSqr val="0"/>
            <c:dispEq val="0"/>
          </c:trendline>
          <c:cat>
            <c:strRef>
              <c:f>'Sales Comparison'!$I$4:$I$15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Comparison'!$K$4:$K$15</c:f>
              <c:numCache>
                <c:formatCode>"$"#,##0</c:formatCode>
                <c:ptCount val="12"/>
                <c:pt idx="0">
                  <c:v>124366</c:v>
                </c:pt>
                <c:pt idx="1">
                  <c:v>112365</c:v>
                </c:pt>
                <c:pt idx="2">
                  <c:v>140879</c:v>
                </c:pt>
                <c:pt idx="3">
                  <c:v>139658</c:v>
                </c:pt>
                <c:pt idx="4">
                  <c:v>151269</c:v>
                </c:pt>
                <c:pt idx="5">
                  <c:v>141803</c:v>
                </c:pt>
                <c:pt idx="6">
                  <c:v>142502</c:v>
                </c:pt>
                <c:pt idx="7">
                  <c:v>120677</c:v>
                </c:pt>
                <c:pt idx="8">
                  <c:v>155623</c:v>
                </c:pt>
                <c:pt idx="9">
                  <c:v>158322</c:v>
                </c:pt>
                <c:pt idx="10">
                  <c:v>159422</c:v>
                </c:pt>
                <c:pt idx="11">
                  <c:v>155106</c:v>
                </c:pt>
              </c:numCache>
            </c:numRef>
          </c:val>
          <c:smooth val="0"/>
          <c:extLst>
            <c:ext xmlns:c16="http://schemas.microsoft.com/office/drawing/2014/chart" uri="{C3380CC4-5D6E-409C-BE32-E72D297353CC}">
              <c16:uniqueId val="{00000000-43B6-4A6B-A235-989CC1A9E114}"/>
            </c:ext>
          </c:extLst>
        </c:ser>
        <c:dLbls>
          <c:showLegendKey val="0"/>
          <c:showVal val="0"/>
          <c:showCatName val="0"/>
          <c:showSerName val="0"/>
          <c:showPercent val="0"/>
          <c:showBubbleSize val="0"/>
        </c:dLbls>
        <c:smooth val="0"/>
        <c:axId val="362310824"/>
        <c:axId val="498016504"/>
      </c:lineChart>
      <c:catAx>
        <c:axId val="36231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16504"/>
        <c:crosses val="autoZero"/>
        <c:auto val="1"/>
        <c:lblAlgn val="ctr"/>
        <c:lblOffset val="100"/>
        <c:noMultiLvlLbl val="0"/>
      </c:catAx>
      <c:valAx>
        <c:axId val="4980165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310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R&amp;D</a:t>
            </a:r>
            <a:r>
              <a:rPr lang="en-US" baseline="0"/>
              <a:t> and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'Sales Comparison'!$K$3</c:f>
              <c:strCache>
                <c:ptCount val="1"/>
                <c:pt idx="0">
                  <c:v>Sales</c:v>
                </c:pt>
              </c:strCache>
            </c:strRef>
          </c:tx>
          <c:spPr>
            <a:ln w="28575" cap="rnd">
              <a:noFill/>
              <a:round/>
            </a:ln>
            <a:effectLst/>
          </c:spPr>
          <c:marker>
            <c:symbol val="circle"/>
            <c:size val="5"/>
            <c:spPr>
              <a:solidFill>
                <a:schemeClr val="accent1"/>
              </a:solidFill>
              <a:ln w="9525">
                <a:solidFill>
                  <a:schemeClr val="accent1"/>
                </a:solidFill>
              </a:ln>
              <a:effectLst/>
            </c:spPr>
          </c:marker>
          <c:xVal>
            <c:numRef>
              <c:f>'Sales Comparison'!$J$4:$J$15</c:f>
              <c:numCache>
                <c:formatCode>"$"#,##0</c:formatCode>
                <c:ptCount val="12"/>
                <c:pt idx="0">
                  <c:v>3731</c:v>
                </c:pt>
                <c:pt idx="1">
                  <c:v>3109</c:v>
                </c:pt>
                <c:pt idx="2">
                  <c:v>4225</c:v>
                </c:pt>
                <c:pt idx="3">
                  <c:v>4220</c:v>
                </c:pt>
                <c:pt idx="4">
                  <c:v>4570</c:v>
                </c:pt>
                <c:pt idx="5">
                  <c:v>4305</c:v>
                </c:pt>
                <c:pt idx="6">
                  <c:v>4275</c:v>
                </c:pt>
                <c:pt idx="7">
                  <c:v>3445</c:v>
                </c:pt>
                <c:pt idx="8">
                  <c:v>4520</c:v>
                </c:pt>
                <c:pt idx="9">
                  <c:v>4725</c:v>
                </c:pt>
                <c:pt idx="10">
                  <c:v>4850</c:v>
                </c:pt>
                <c:pt idx="11">
                  <c:v>4850</c:v>
                </c:pt>
              </c:numCache>
            </c:numRef>
          </c:xVal>
          <c:yVal>
            <c:numRef>
              <c:f>'Sales Comparison'!$K$4:$K$15</c:f>
              <c:numCache>
                <c:formatCode>"$"#,##0</c:formatCode>
                <c:ptCount val="12"/>
                <c:pt idx="0">
                  <c:v>124366</c:v>
                </c:pt>
                <c:pt idx="1">
                  <c:v>112365</c:v>
                </c:pt>
                <c:pt idx="2">
                  <c:v>140879</c:v>
                </c:pt>
                <c:pt idx="3">
                  <c:v>139658</c:v>
                </c:pt>
                <c:pt idx="4">
                  <c:v>151269</c:v>
                </c:pt>
                <c:pt idx="5">
                  <c:v>141803</c:v>
                </c:pt>
                <c:pt idx="6">
                  <c:v>142502</c:v>
                </c:pt>
                <c:pt idx="7">
                  <c:v>120677</c:v>
                </c:pt>
                <c:pt idx="8">
                  <c:v>155623</c:v>
                </c:pt>
                <c:pt idx="9">
                  <c:v>158322</c:v>
                </c:pt>
                <c:pt idx="10">
                  <c:v>159422</c:v>
                </c:pt>
                <c:pt idx="11">
                  <c:v>155106</c:v>
                </c:pt>
              </c:numCache>
            </c:numRef>
          </c:yVal>
          <c:smooth val="0"/>
          <c:extLst>
            <c:ext xmlns:c16="http://schemas.microsoft.com/office/drawing/2014/chart" uri="{C3380CC4-5D6E-409C-BE32-E72D297353CC}">
              <c16:uniqueId val="{00000000-0149-406C-8E0A-4F5798777D6F}"/>
            </c:ext>
          </c:extLst>
        </c:ser>
        <c:dLbls>
          <c:showLegendKey val="0"/>
          <c:showVal val="0"/>
          <c:showCatName val="0"/>
          <c:showSerName val="0"/>
          <c:showPercent val="0"/>
          <c:showBubbleSize val="0"/>
        </c:dLbls>
        <c:axId val="1249829327"/>
        <c:axId val="1249831727"/>
      </c:scatterChart>
      <c:valAx>
        <c:axId val="1249829327"/>
        <c:scaling>
          <c:orientation val="minMax"/>
          <c:min val="3000"/>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831727"/>
        <c:crosses val="autoZero"/>
        <c:crossBetween val="midCat"/>
      </c:valAx>
      <c:valAx>
        <c:axId val="12498317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82932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[SC_EX365_2021_CS8-11a_MatthewArceneaux_2.xlsm]May Sales by Region!PivotTable4</c:name>
    <c:fmtId val="0"/>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'May Sales by Region'!$B$3</c:f>
              <c:strCache>
                <c:ptCount val="1"/>
                <c:pt idx="0">
                  <c:v>Total Sales</c:v>
                </c:pt>
              </c:strCache>
            </c:strRef>
          </c:tx>
          <c:spPr>
            <a:solidFill>
              <a:schemeClr val="accent5">
                <a:shade val="76000"/>
              </a:schemeClr>
            </a:solidFill>
            <a:ln>
              <a:noFill/>
            </a:ln>
            <a:effectLst/>
          </c:spPr>
          <c:invertIfNegative val="0"/>
          <c:cat>
            <c:strRef>
              <c:f>'May Sales by Region'!$A$4:$A$9</c:f>
              <c:strCache>
                <c:ptCount val="5"/>
                <c:pt idx="0">
                  <c:v>Midwest</c:v>
                </c:pt>
                <c:pt idx="1">
                  <c:v>Northeast</c:v>
                </c:pt>
                <c:pt idx="2">
                  <c:v>Northwest</c:v>
                </c:pt>
                <c:pt idx="3">
                  <c:v>Southeast</c:v>
                </c:pt>
                <c:pt idx="4">
                  <c:v>Southwest</c:v>
                </c:pt>
              </c:strCache>
            </c:strRef>
          </c:cat>
          <c:val>
            <c:numRef>
              <c:f>'May Sales by Region'!$B$4:$B$9</c:f>
              <c:numCache>
                <c:formatCode>"$"#,##0.00</c:formatCode>
                <c:ptCount val="5"/>
                <c:pt idx="0">
                  <c:v>1543</c:v>
                </c:pt>
                <c:pt idx="1">
                  <c:v>1204</c:v>
                </c:pt>
                <c:pt idx="2">
                  <c:v>1274</c:v>
                </c:pt>
                <c:pt idx="3">
                  <c:v>946</c:v>
                </c:pt>
                <c:pt idx="4">
                  <c:v>816</c:v>
                </c:pt>
              </c:numCache>
            </c:numRef>
          </c:val>
          <c:extLst>
            <c:ext xmlns:c16="http://schemas.microsoft.com/office/drawing/2014/chart" uri="{C3380CC4-5D6E-409C-BE32-E72D297353CC}">
              <c16:uniqueId val="{00000000-9903-4C67-8058-AF05AAE0633A}"/>
            </c:ext>
          </c:extLst>
        </c:ser>
        <c:dLbls>
          <c:showLegendKey val="0"/>
          <c:showVal val="0"/>
          <c:showCatName val="0"/>
          <c:showSerName val="0"/>
          <c:showPercent val="0"/>
          <c:showBubbleSize val="0"/>
        </c:dLbls>
        <c:gapWidth val="219"/>
        <c:overlap val="-27"/>
        <c:axId val="1316645359"/>
        <c:axId val="1316658319"/>
      </c:barChart>
      <c:lineChart>
        <c:grouping val="standard"/>
        <c:varyColors val="0"/>
        <c:ser>
          <c:idx val="1"/>
          <c:order val="1"/>
          <c:tx>
            <c:strRef>
              <c:f>'May Sales by Region'!$C$3</c:f>
              <c:strCache>
                <c:ptCount val="1"/>
                <c:pt idx="0">
                  <c:v>Average Sales</c:v>
                </c:pt>
              </c:strCache>
            </c:strRef>
          </c:tx>
          <c:spPr>
            <a:ln w="28575" cap="rnd">
              <a:solidFill>
                <a:schemeClr val="accent5">
                  <a:tint val="77000"/>
                </a:schemeClr>
              </a:solidFill>
              <a:round/>
            </a:ln>
            <a:effectLst/>
          </c:spPr>
          <c:marker>
            <c:symbol val="none"/>
          </c:marker>
          <c:cat>
            <c:strRef>
              <c:f>'May Sales by Region'!$A$4:$A$9</c:f>
              <c:strCache>
                <c:ptCount val="5"/>
                <c:pt idx="0">
                  <c:v>Midwest</c:v>
                </c:pt>
                <c:pt idx="1">
                  <c:v>Northeast</c:v>
                </c:pt>
                <c:pt idx="2">
                  <c:v>Northwest</c:v>
                </c:pt>
                <c:pt idx="3">
                  <c:v>Southeast</c:v>
                </c:pt>
                <c:pt idx="4">
                  <c:v>Southwest</c:v>
                </c:pt>
              </c:strCache>
            </c:strRef>
          </c:cat>
          <c:val>
            <c:numRef>
              <c:f>'May Sales by Region'!$C$4:$C$9</c:f>
              <c:numCache>
                <c:formatCode>"$"#,##0.00</c:formatCode>
                <c:ptCount val="5"/>
                <c:pt idx="0">
                  <c:v>220.42857142857142</c:v>
                </c:pt>
                <c:pt idx="1">
                  <c:v>200.66666666666666</c:v>
                </c:pt>
                <c:pt idx="2">
                  <c:v>212.33333333333334</c:v>
                </c:pt>
                <c:pt idx="3">
                  <c:v>236.5</c:v>
                </c:pt>
                <c:pt idx="4">
                  <c:v>204</c:v>
                </c:pt>
              </c:numCache>
            </c:numRef>
          </c:val>
          <c:smooth val="0"/>
          <c:extLst>
            <c:ext xmlns:c16="http://schemas.microsoft.com/office/drawing/2014/chart" uri="{C3380CC4-5D6E-409C-BE32-E72D297353CC}">
              <c16:uniqueId val="{00000001-9903-4C67-8058-AF05AAE0633A}"/>
            </c:ext>
          </c:extLst>
        </c:ser>
        <c:dLbls>
          <c:showLegendKey val="0"/>
          <c:showVal val="0"/>
          <c:showCatName val="0"/>
          <c:showSerName val="0"/>
          <c:showPercent val="0"/>
          <c:showBubbleSize val="0"/>
        </c:dLbls>
        <c:marker val="1"/>
        <c:smooth val="0"/>
        <c:axId val="1316659279"/>
        <c:axId val="1316643439"/>
      </c:lineChart>
      <c:catAx>
        <c:axId val="131664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658319"/>
        <c:crosses val="autoZero"/>
        <c:auto val="1"/>
        <c:lblAlgn val="ctr"/>
        <c:lblOffset val="100"/>
        <c:noMultiLvlLbl val="0"/>
      </c:catAx>
      <c:valAx>
        <c:axId val="131665831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645359"/>
        <c:crosses val="autoZero"/>
        <c:crossBetween val="between"/>
      </c:valAx>
      <c:valAx>
        <c:axId val="1316643439"/>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659279"/>
        <c:crosses val="max"/>
        <c:crossBetween val="between"/>
      </c:valAx>
      <c:catAx>
        <c:axId val="1316659279"/>
        <c:scaling>
          <c:orientation val="minMax"/>
        </c:scaling>
        <c:delete val="1"/>
        <c:axPos val="b"/>
        <c:numFmt formatCode="General" sourceLinked="1"/>
        <c:majorTickMark val="out"/>
        <c:minorTickMark val="none"/>
        <c:tickLblPos val="nextTo"/>
        <c:crossAx val="1316643439"/>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overlay val="0"/>
    </c:title>
    <c:autoTitleDeleted val="0"/>
    <c:plotArea>
      <c:layout/>
      <c:barChart>
        <c:barDir val="col"/>
        <c:grouping val="clustered"/>
        <c:varyColors val="0"/>
        <c:ser>
          <c:idx val="0"/>
          <c:order val="0"/>
          <c:tx>
            <c:v>Frequency</c:v>
          </c:tx>
          <c:invertIfNegative val="0"/>
          <c:cat>
            <c:strRef>
              <c:f>Installations!$A$33:$A$37</c:f>
              <c:strCache>
                <c:ptCount val="5"/>
                <c:pt idx="0">
                  <c:v>2</c:v>
                </c:pt>
                <c:pt idx="1">
                  <c:v>4</c:v>
                </c:pt>
                <c:pt idx="2">
                  <c:v>6</c:v>
                </c:pt>
                <c:pt idx="3">
                  <c:v>8</c:v>
                </c:pt>
                <c:pt idx="4">
                  <c:v>More</c:v>
                </c:pt>
              </c:strCache>
            </c:strRef>
          </c:cat>
          <c:val>
            <c:numRef>
              <c:f>Installations!$B$33:$B$37</c:f>
              <c:numCache>
                <c:formatCode>General</c:formatCode>
                <c:ptCount val="5"/>
                <c:pt idx="0">
                  <c:v>1</c:v>
                </c:pt>
                <c:pt idx="1">
                  <c:v>12</c:v>
                </c:pt>
                <c:pt idx="2">
                  <c:v>10</c:v>
                </c:pt>
                <c:pt idx="3">
                  <c:v>3</c:v>
                </c:pt>
                <c:pt idx="4">
                  <c:v>1</c:v>
                </c:pt>
              </c:numCache>
            </c:numRef>
          </c:val>
          <c:extLst>
            <c:ext xmlns:c16="http://schemas.microsoft.com/office/drawing/2014/chart" uri="{C3380CC4-5D6E-409C-BE32-E72D297353CC}">
              <c16:uniqueId val="{00000001-C54F-4A0A-85DC-EABBD1D5F456}"/>
            </c:ext>
          </c:extLst>
        </c:ser>
        <c:dLbls>
          <c:showLegendKey val="0"/>
          <c:showVal val="0"/>
          <c:showCatName val="0"/>
          <c:showSerName val="0"/>
          <c:showPercent val="0"/>
          <c:showBubbleSize val="0"/>
        </c:dLbls>
        <c:gapWidth val="150"/>
        <c:axId val="334875471"/>
        <c:axId val="340874063"/>
      </c:barChart>
      <c:lineChart>
        <c:grouping val="standard"/>
        <c:varyColors val="0"/>
        <c:ser>
          <c:idx val="1"/>
          <c:order val="1"/>
          <c:tx>
            <c:v>Cumulative %</c:v>
          </c:tx>
          <c:cat>
            <c:strRef>
              <c:f>Installations!$A$33:$A$37</c:f>
              <c:strCache>
                <c:ptCount val="5"/>
                <c:pt idx="0">
                  <c:v>2</c:v>
                </c:pt>
                <c:pt idx="1">
                  <c:v>4</c:v>
                </c:pt>
                <c:pt idx="2">
                  <c:v>6</c:v>
                </c:pt>
                <c:pt idx="3">
                  <c:v>8</c:v>
                </c:pt>
                <c:pt idx="4">
                  <c:v>More</c:v>
                </c:pt>
              </c:strCache>
            </c:strRef>
          </c:cat>
          <c:val>
            <c:numRef>
              <c:f>Installations!$C$33:$C$37</c:f>
              <c:numCache>
                <c:formatCode>0.00%</c:formatCode>
                <c:ptCount val="5"/>
                <c:pt idx="0">
                  <c:v>3.7037037037037035E-2</c:v>
                </c:pt>
                <c:pt idx="1">
                  <c:v>0.48148148148148145</c:v>
                </c:pt>
                <c:pt idx="2">
                  <c:v>0.85185185185185186</c:v>
                </c:pt>
                <c:pt idx="3">
                  <c:v>0.96296296296296291</c:v>
                </c:pt>
                <c:pt idx="4">
                  <c:v>1</c:v>
                </c:pt>
              </c:numCache>
            </c:numRef>
          </c:val>
          <c:smooth val="0"/>
          <c:extLst>
            <c:ext xmlns:c16="http://schemas.microsoft.com/office/drawing/2014/chart" uri="{C3380CC4-5D6E-409C-BE32-E72D297353CC}">
              <c16:uniqueId val="{00000002-C54F-4A0A-85DC-EABBD1D5F456}"/>
            </c:ext>
          </c:extLst>
        </c:ser>
        <c:dLbls>
          <c:showLegendKey val="0"/>
          <c:showVal val="0"/>
          <c:showCatName val="0"/>
          <c:showSerName val="0"/>
          <c:showPercent val="0"/>
          <c:showBubbleSize val="0"/>
        </c:dLbls>
        <c:marker val="1"/>
        <c:smooth val="0"/>
        <c:axId val="439564239"/>
        <c:axId val="463719263"/>
      </c:lineChart>
      <c:catAx>
        <c:axId val="334875471"/>
        <c:scaling>
          <c:orientation val="minMax"/>
        </c:scaling>
        <c:delete val="0"/>
        <c:axPos val="b"/>
        <c:title>
          <c:tx>
            <c:rich>
              <a:bodyPr/>
              <a:lstStyle/>
              <a:p>
                <a:pPr>
                  <a:defRPr/>
                </a:pPr>
                <a:r>
                  <a:rPr lang="en-US"/>
                  <a:t>Bin</a:t>
                </a:r>
              </a:p>
            </c:rich>
          </c:tx>
          <c:overlay val="0"/>
        </c:title>
        <c:numFmt formatCode="General" sourceLinked="1"/>
        <c:majorTickMark val="out"/>
        <c:minorTickMark val="none"/>
        <c:tickLblPos val="nextTo"/>
        <c:crossAx val="340874063"/>
        <c:crosses val="autoZero"/>
        <c:auto val="1"/>
        <c:lblAlgn val="ctr"/>
        <c:lblOffset val="100"/>
        <c:noMultiLvlLbl val="0"/>
      </c:catAx>
      <c:valAx>
        <c:axId val="340874063"/>
        <c:scaling>
          <c:orientation val="minMax"/>
        </c:scaling>
        <c:delete val="0"/>
        <c:axPos val="l"/>
        <c:title>
          <c:tx>
            <c:rich>
              <a:bodyPr/>
              <a:lstStyle/>
              <a:p>
                <a:pPr>
                  <a:defRPr/>
                </a:pPr>
                <a:r>
                  <a:rPr lang="en-US"/>
                  <a:t>Frequency</a:t>
                </a:r>
              </a:p>
            </c:rich>
          </c:tx>
          <c:overlay val="0"/>
        </c:title>
        <c:numFmt formatCode="General" sourceLinked="1"/>
        <c:majorTickMark val="out"/>
        <c:minorTickMark val="none"/>
        <c:tickLblPos val="nextTo"/>
        <c:crossAx val="334875471"/>
        <c:crosses val="autoZero"/>
        <c:crossBetween val="between"/>
      </c:valAx>
      <c:valAx>
        <c:axId val="463719263"/>
        <c:scaling>
          <c:orientation val="minMax"/>
        </c:scaling>
        <c:delete val="0"/>
        <c:axPos val="r"/>
        <c:numFmt formatCode="0.00%" sourceLinked="1"/>
        <c:majorTickMark val="out"/>
        <c:minorTickMark val="none"/>
        <c:tickLblPos val="nextTo"/>
        <c:crossAx val="439564239"/>
        <c:crosses val="max"/>
        <c:crossBetween val="between"/>
      </c:valAx>
      <c:catAx>
        <c:axId val="439564239"/>
        <c:scaling>
          <c:orientation val="minMax"/>
        </c:scaling>
        <c:delete val="1"/>
        <c:axPos val="b"/>
        <c:numFmt formatCode="General" sourceLinked="1"/>
        <c:majorTickMark val="out"/>
        <c:minorTickMark val="none"/>
        <c:tickLblPos val="nextTo"/>
        <c:crossAx val="463719263"/>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'Income Analysis'!$E$4</c:f>
              <c:strCache>
                <c:ptCount val="1"/>
                <c:pt idx="0">
                  <c:v>Revenue</c:v>
                </c:pt>
              </c:strCache>
            </c:strRef>
          </c:tx>
          <c:spPr>
            <a:ln w="19050" cap="rnd">
              <a:solidFill>
                <a:schemeClr val="accent5">
                  <a:shade val="76000"/>
                </a:schemeClr>
              </a:solidFill>
              <a:round/>
            </a:ln>
            <a:effectLst/>
          </c:spPr>
          <c:marker>
            <c:symbol val="none"/>
          </c:marker>
          <c:xVal>
            <c:numRef>
              <c:f>'Income Analysis'!$D$5:$D$14</c:f>
              <c:numCache>
                <c:formatCode>_(* #,##0_);_(* \(#,##0\);_(* "-"??_);_(@_)</c:formatCode>
                <c:ptCount val="10"/>
                <c:pt idx="0">
                  <c:v>1488</c:v>
                </c:pt>
                <c:pt idx="1">
                  <c:v>600</c:v>
                </c:pt>
                <c:pt idx="2">
                  <c:v>800</c:v>
                </c:pt>
                <c:pt idx="3">
                  <c:v>1000</c:v>
                </c:pt>
                <c:pt idx="4">
                  <c:v>1200</c:v>
                </c:pt>
                <c:pt idx="5">
                  <c:v>1488</c:v>
                </c:pt>
                <c:pt idx="6">
                  <c:v>1600</c:v>
                </c:pt>
                <c:pt idx="7">
                  <c:v>1800</c:v>
                </c:pt>
                <c:pt idx="8">
                  <c:v>2000</c:v>
                </c:pt>
                <c:pt idx="9">
                  <c:v>2200</c:v>
                </c:pt>
              </c:numCache>
            </c:numRef>
          </c:xVal>
          <c:yVal>
            <c:numRef>
              <c:f>'Income Analysis'!$E$5:$E$14</c:f>
              <c:numCache>
                <c:formatCode>_(* #,##0_);_(* \(#,##0\);_(* "-"??_);_(@_)</c:formatCode>
                <c:ptCount val="10"/>
                <c:pt idx="0" formatCode="_(&quot;$&quot;* #,##0_);_(&quot;$&quot;* \(#,##0\);_(&quot;$&quot;* &quot;-&quot;??_);_(@_)">
                  <c:v>296112</c:v>
                </c:pt>
                <c:pt idx="1">
                  <c:v>119400</c:v>
                </c:pt>
                <c:pt idx="2">
                  <c:v>159200</c:v>
                </c:pt>
                <c:pt idx="3">
                  <c:v>199000</c:v>
                </c:pt>
                <c:pt idx="4">
                  <c:v>238800</c:v>
                </c:pt>
                <c:pt idx="5">
                  <c:v>296112</c:v>
                </c:pt>
                <c:pt idx="6">
                  <c:v>318400</c:v>
                </c:pt>
                <c:pt idx="7">
                  <c:v>358200</c:v>
                </c:pt>
                <c:pt idx="8">
                  <c:v>398000</c:v>
                </c:pt>
                <c:pt idx="9">
                  <c:v>437800</c:v>
                </c:pt>
              </c:numCache>
            </c:numRef>
          </c:yVal>
          <c:smooth val="0"/>
          <c:extLst>
            <c:ext xmlns:c16="http://schemas.microsoft.com/office/drawing/2014/chart" uri="{C3380CC4-5D6E-409C-BE32-E72D297353CC}">
              <c16:uniqueId val="{00000000-410C-40BC-80E8-D37878C08B09}"/>
            </c:ext>
          </c:extLst>
        </c:ser>
        <c:ser>
          <c:idx val="1"/>
          <c:order val="1"/>
          <c:tx>
            <c:strRef>
              <c:f>'Income Analysis'!$F$4</c:f>
              <c:strCache>
                <c:ptCount val="1"/>
                <c:pt idx="0">
                  <c:v>Expenses</c:v>
                </c:pt>
              </c:strCache>
            </c:strRef>
          </c:tx>
          <c:spPr>
            <a:ln w="19050" cap="rnd">
              <a:solidFill>
                <a:schemeClr val="accent5">
                  <a:tint val="77000"/>
                </a:schemeClr>
              </a:solidFill>
              <a:round/>
            </a:ln>
            <a:effectLst/>
          </c:spPr>
          <c:marker>
            <c:symbol val="none"/>
          </c:marker>
          <c:xVal>
            <c:numRef>
              <c:f>'Income Analysis'!$D$5:$D$14</c:f>
              <c:numCache>
                <c:formatCode>_(* #,##0_);_(* \(#,##0\);_(* "-"??_);_(@_)</c:formatCode>
                <c:ptCount val="10"/>
                <c:pt idx="0">
                  <c:v>1488</c:v>
                </c:pt>
                <c:pt idx="1">
                  <c:v>600</c:v>
                </c:pt>
                <c:pt idx="2">
                  <c:v>800</c:v>
                </c:pt>
                <c:pt idx="3">
                  <c:v>1000</c:v>
                </c:pt>
                <c:pt idx="4">
                  <c:v>1200</c:v>
                </c:pt>
                <c:pt idx="5">
                  <c:v>1488</c:v>
                </c:pt>
                <c:pt idx="6">
                  <c:v>1600</c:v>
                </c:pt>
                <c:pt idx="7">
                  <c:v>1800</c:v>
                </c:pt>
                <c:pt idx="8">
                  <c:v>2000</c:v>
                </c:pt>
                <c:pt idx="9">
                  <c:v>2200</c:v>
                </c:pt>
              </c:numCache>
            </c:numRef>
          </c:xVal>
          <c:yVal>
            <c:numRef>
              <c:f>'Income Analysis'!$F$5:$F$14</c:f>
              <c:numCache>
                <c:formatCode>_(* #,##0_);_(* \(#,##0\);_(* "-"??_);_(@_)</c:formatCode>
                <c:ptCount val="10"/>
                <c:pt idx="0" formatCode="_(&quot;$&quot;* #,##0_);_(&quot;$&quot;* \(#,##0\);_(&quot;$&quot;* &quot;-&quot;??_);_(@_)">
                  <c:v>248192</c:v>
                </c:pt>
                <c:pt idx="1">
                  <c:v>157616</c:v>
                </c:pt>
                <c:pt idx="2">
                  <c:v>178016</c:v>
                </c:pt>
                <c:pt idx="3">
                  <c:v>198416</c:v>
                </c:pt>
                <c:pt idx="4">
                  <c:v>218816</c:v>
                </c:pt>
                <c:pt idx="5">
                  <c:v>248192</c:v>
                </c:pt>
                <c:pt idx="6">
                  <c:v>259616</c:v>
                </c:pt>
                <c:pt idx="7">
                  <c:v>280016</c:v>
                </c:pt>
                <c:pt idx="8">
                  <c:v>300416</c:v>
                </c:pt>
                <c:pt idx="9">
                  <c:v>320816</c:v>
                </c:pt>
              </c:numCache>
            </c:numRef>
          </c:yVal>
          <c:smooth val="0"/>
          <c:extLst>
            <c:ext xmlns:c16="http://schemas.microsoft.com/office/drawing/2014/chart" uri="{C3380CC4-5D6E-409C-BE32-E72D297353CC}">
              <c16:uniqueId val="{00000001-410C-40BC-80E8-D37878C08B09}"/>
            </c:ext>
          </c:extLst>
        </c:ser>
        <c:dLbls>
          <c:showLegendKey val="0"/>
          <c:showVal val="0"/>
          <c:showCatName val="0"/>
          <c:showSerName val="0"/>
          <c:showPercent val="0"/>
          <c:showBubbleSize val="0"/>
        </c:dLbls>
        <c:axId val="498017680"/>
        <c:axId val="498018072"/>
      </c:scatterChart>
      <c:valAx>
        <c:axId val="498017680"/>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18072"/>
        <c:crosses val="autoZero"/>
        <c:crossBetween val="midCat"/>
      </c:valAx>
      <c:valAx>
        <c:axId val="49801807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17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Sales of Accessories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Lucida Grande"/>
            </a:rPr>
            <a:t>Sales of Accessories</a:t>
          </a:r>
        </a:p>
      </cx:txPr>
    </cx:title>
    <cx:plotArea>
      <cx:plotAreaRegion>
        <cx:series layoutId="sunburst" uniqueId="{E7877C7E-0C46-4595-84BA-2E7424C70199}">
          <cx:tx>
            <cx:txData>
              <cx:f>_xlchart.v1.4</cx:f>
              <cx:v>Sales</cx:v>
            </cx:txData>
          </cx:tx>
          <cx:dataLabels pos="ctr">
            <cx:visibility seriesName="0" categoryName="1" value="0"/>
          </cx:dataLabels>
          <cx:dataId val="0"/>
        </cx:series>
      </cx:plotAreaRegion>
    </cx:plotArea>
    <cx:legend pos="b" align="ctr" overlay="0"/>
  </cx:chart>
</cx: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85">
  <cs:axisTitle>
    <cs:lnRef idx="0"/>
    <cs:fillRef idx="0"/>
    <cs:effectRef idx="0"/>
    <cs:fontRef idx="minor">
      <a:schemeClr val="tx2"/>
    </cs:fontRef>
    <cs:defRPr sz="9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dk1"/>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2"/>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bg1"/>
        </a:solidFill>
      </a:ln>
    </cs:spPr>
  </cs:dataPoint>
  <cs:dataPoint3D>
    <cs:lnRef idx="0"/>
    <cs:fillRef idx="0">
      <cs:styleClr val="auto"/>
    </cs:fillRef>
    <cs:effectRef idx="0"/>
    <cs:fontRef idx="minor">
      <a:schemeClr val="tx2"/>
    </cs:fontRef>
    <cs:spPr>
      <a:solidFill>
        <a:schemeClr val="phClr"/>
      </a:solidFill>
    </cs:spPr>
  </cs:dataPoint3D>
  <cs:dataPointLine>
    <cs:lnRef idx="0">
      <cs:styleClr val="auto"/>
    </cs:lnRef>
    <cs:fillRef idx="0"/>
    <cs:effectRef idx="0"/>
    <cs:fontRef idx="minor">
      <a:schemeClr val="tx2"/>
    </cs:fontRef>
    <cs:spPr>
      <a:ln w="28575" cap="rnd">
        <a:solidFill>
          <a:schemeClr val="phClr"/>
        </a:solidFill>
        <a:round/>
      </a:ln>
    </cs:spPr>
  </cs:dataPointLine>
  <cs:dataPointMarker>
    <cs:lnRef idx="0"/>
    <cs:fillRef idx="0">
      <cs:styleClr val="auto"/>
    </cs:fillRef>
    <cs:effectRef idx="0"/>
    <cs:fontRef idx="minor">
      <a:schemeClr val="tx2"/>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2"/>
    </cs:fontRef>
    <cs:spPr>
      <a:ln w="2857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2"/>
    </cs:fontRef>
    <cs:defRPr sz="9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cs:seriesAxis>
  <cs:seriesLine>
    <cs:lnRef idx="0"/>
    <cs:fillRef idx="0"/>
    <cs:effectRef idx="0"/>
    <cs:fontRef idx="minor">
      <a:schemeClr val="tx2"/>
    </cs:fontRef>
    <cs:spPr>
      <a:ln w="9525" cap="flat">
        <a:solidFill>
          <a:srgbClr val="D9D9D9"/>
        </a:solidFill>
        <a:round/>
      </a:ln>
    </cs:spPr>
  </cs:seriesLine>
  <cs:title>
    <cs:lnRef idx="0"/>
    <cs:fillRef idx="0"/>
    <cs:effectRef idx="0"/>
    <cs:fontRef idx="minor">
      <a:schemeClr val="tx2"/>
    </cs:fontRef>
    <cs:defRPr sz="1600" b="1"/>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I$24"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Radio" lockText="1"/>
</file>

<file path=xl/ctrlProps/ctrlProp4.xml><?xml version="1.0" encoding="utf-8"?>
<formControlPr xmlns="http://schemas.microsoft.com/office/spreadsheetml/2009/9/main" objectType="Radio" checked="Checked"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CheckBox" checked="Checked" fmlaLink="$J$23" lockText="1"/>
</file>

<file path=xl/ctrlProps/ctrlProp7.xml><?xml version="1.0" encoding="utf-8"?>
<formControlPr xmlns="http://schemas.microsoft.com/office/spreadsheetml/2009/9/main" objectType="CheckBox" fmlaLink="$K$23" lockText="1"/>
</file>

<file path=xl/ctrlProps/ctrlProp8.xml><?xml version="1.0" encoding="utf-8"?>
<formControlPr xmlns="http://schemas.microsoft.com/office/spreadsheetml/2009/9/main" objectType="CheckBox" fmlaLink="$M$23"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CheckBox" fmlaLink="$L$23"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4.xml"/><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1</xdr:row>
      <xdr:rowOff>30480</xdr:rowOff>
    </xdr:to>
    <xdr:grpSp>
      <xdr:nvGrpSpPr>
        <xdr:cNvPr id="2" name="Group 1">
          <a:extLst>
            <a:ext uri="{FF2B5EF4-FFF2-40B4-BE49-F238E27FC236}">
              <a16:creationId xmlns:a16="http://schemas.microsoft.com/office/drawing/2014/main" id="{142A2CDC-627B-4D63-BB6E-A1BC9DC8FD24}"/>
            </a:ext>
          </a:extLst>
        </xdr:cNvPr>
        <xdr:cNvGrpSpPr>
          <a:grpSpLocks noChangeAspect="1"/>
        </xdr:cNvGrpSpPr>
      </xdr:nvGrpSpPr>
      <xdr:grpSpPr>
        <a:xfrm>
          <a:off x="0" y="0"/>
          <a:ext cx="6410325" cy="563880"/>
          <a:chOff x="6987540" y="0"/>
          <a:chExt cx="6377940" cy="514244"/>
        </a:xfrm>
      </xdr:grpSpPr>
      <xdr:pic>
        <xdr:nvPicPr>
          <xdr:cNvPr id="3" name="Picture 2">
            <a:extLst>
              <a:ext uri="{FF2B5EF4-FFF2-40B4-BE49-F238E27FC236}">
                <a16:creationId xmlns:a16="http://schemas.microsoft.com/office/drawing/2014/main" id="{F4212155-6826-4014-9C11-5C33DE681F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87540" y="0"/>
            <a:ext cx="6377940" cy="514244"/>
          </a:xfrm>
          <a:prstGeom prst="rect">
            <a:avLst/>
          </a:prstGeom>
        </xdr:spPr>
      </xdr:pic>
      <xdr:sp macro="" textlink="">
        <xdr:nvSpPr>
          <xdr:cNvPr id="4" name="Rectangle 3">
            <a:extLst>
              <a:ext uri="{FF2B5EF4-FFF2-40B4-BE49-F238E27FC236}">
                <a16:creationId xmlns:a16="http://schemas.microsoft.com/office/drawing/2014/main" id="{28D123E4-0AD1-4F71-ADCE-E73ED88BEE70}"/>
              </a:ext>
            </a:extLst>
          </xdr:cNvPr>
          <xdr:cNvSpPr/>
        </xdr:nvSpPr>
        <xdr:spPr>
          <a:xfrm>
            <a:off x="7048500" y="0"/>
            <a:ext cx="528066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l"/>
            <a:r>
              <a:rPr lang="en-US" sz="1000" b="0">
                <a:latin typeface="Century Gothic" panose="020B0502020202020204" pitchFamily="34" charset="0"/>
              </a:rPr>
              <a:t> Shelly Cashman Excel 365/2021 | Modules 8-11: SAM Capstone Project 1a</a:t>
            </a:r>
            <a:endParaRPr lang="en-US" sz="1000">
              <a:latin typeface="Century Gothic" panose="020B0502020202020204"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1</xdr:row>
      <xdr:rowOff>0</xdr:rowOff>
    </xdr:from>
    <xdr:to>
      <xdr:col>2</xdr:col>
      <xdr:colOff>14720</xdr:colOff>
      <xdr:row>2</xdr:row>
      <xdr:rowOff>295275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0575" y="219075"/>
          <a:ext cx="748145" cy="914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752475</xdr:colOff>
          <xdr:row>10</xdr:row>
          <xdr:rowOff>9525</xdr:rowOff>
        </xdr:from>
        <xdr:to>
          <xdr:col>3</xdr:col>
          <xdr:colOff>257175</xdr:colOff>
          <xdr:row>11</xdr:row>
          <xdr:rowOff>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Other client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752475</xdr:colOff>
          <xdr:row>11</xdr:row>
          <xdr:rowOff>57150</xdr:rowOff>
        </xdr:from>
        <xdr:to>
          <xdr:col>3</xdr:col>
          <xdr:colOff>257175</xdr:colOff>
          <xdr:row>12</xdr:row>
          <xdr:rowOff>47625</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10</xdr:row>
          <xdr:rowOff>0</xdr:rowOff>
        </xdr:from>
        <xdr:to>
          <xdr:col>5</xdr:col>
          <xdr:colOff>676275</xdr:colOff>
          <xdr:row>10</xdr:row>
          <xdr:rowOff>209550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Salesperson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11</xdr:row>
          <xdr:rowOff>57150</xdr:rowOff>
        </xdr:from>
        <xdr:to>
          <xdr:col>5</xdr:col>
          <xdr:colOff>676275</xdr:colOff>
          <xdr:row>12</xdr:row>
          <xdr:rowOff>47625</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Social media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0</xdr:rowOff>
        </xdr:from>
        <xdr:to>
          <xdr:col>8</xdr:col>
          <xdr:colOff>200025</xdr:colOff>
          <xdr:row>11</xdr:row>
          <xdr:rowOff>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TV 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47625</xdr:rowOff>
        </xdr:from>
        <xdr:to>
          <xdr:col>3</xdr:col>
          <xdr:colOff>285750</xdr:colOff>
          <xdr:row>15</xdr:row>
          <xdr:rowOff>28575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Portable camera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14</xdr:row>
          <xdr:rowOff>47625</xdr:rowOff>
        </xdr:from>
        <xdr:to>
          <xdr:col>5</xdr:col>
          <xdr:colOff>304800</xdr:colOff>
          <xdr:row>15</xdr:row>
          <xdr:rowOff>57150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Security lights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14</xdr:row>
          <xdr:rowOff>47625</xdr:rowOff>
        </xdr:from>
        <xdr:to>
          <xdr:col>9</xdr:col>
          <xdr:colOff>0</xdr:colOff>
          <xdr:row>15</xdr:row>
          <xdr:rowOff>47625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Whole-house security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16</xdr:row>
          <xdr:rowOff>0</xdr:rowOff>
        </xdr:from>
        <xdr:to>
          <xdr:col>5</xdr:col>
          <xdr:colOff>66675</xdr:colOff>
          <xdr:row>17</xdr:row>
          <xdr:rowOff>95250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Lucida Grande"/>
                </a:rPr>
                <a:t>Save</a:t>
              </a:r>
              <a:r>
                <a:rPr lang="en-US" sz="1100" b="0" i="0" u="none" strike="noStrike" baseline="0">
                  <a:solidFill>
                    <a:srgbClr val="000000"/>
                  </a:solidFill>
                  <a:latin typeface="Calibri Light"/>
                  <a:ea typeface="Calibri Light"/>
                  <a:cs typeface="Calibri Light"/>
                </a:rPr>
                <a:t> </a:t>
              </a:r>
            </a:p>
          </xdr:txBody>
        </xdr:sp>
        <xdr:clientData fPrintsWithSheet="0"/>
      </xdr:twoCellAnchor>
    </mc:Choice>
    <mc:Fallback/>
  </mc:AlternateContent>
  <xdr:oneCellAnchor>
    <xdr:from>
      <xdr:col>2</xdr:col>
      <xdr:colOff>21605</xdr:colOff>
      <xdr:row>1</xdr:row>
      <xdr:rowOff>74315</xdr:rowOff>
    </xdr:from>
    <xdr:ext cx="5624168" cy="774636"/>
    <xdr:sp macro="" textlink="">
      <xdr:nvSpPr>
        <xdr:cNvPr id="3" name="Rectangle 2">
          <a:extLst>
            <a:ext uri="{FF2B5EF4-FFF2-40B4-BE49-F238E27FC236}">
              <a16:creationId xmlns:a16="http://schemas.microsoft.com/office/drawing/2014/main" id="{78F86375-BB4E-73BF-03D0-66A3A156E4EA}"/>
            </a:ext>
          </a:extLst>
        </xdr:cNvPr>
        <xdr:cNvSpPr/>
      </xdr:nvSpPr>
      <xdr:spPr>
        <a:xfrm>
          <a:off x="1393205" y="255290"/>
          <a:ext cx="5624168" cy="774636"/>
        </a:xfrm>
        <a:prstGeom prst="rect">
          <a:avLst/>
        </a:prstGeom>
        <a:noFill/>
      </xdr:spPr>
      <xdr:txBody>
        <a:bodyPr wrap="none" lIns="91440" tIns="45720" rIns="91440" bIns="45720">
          <a:spAutoFit/>
        </a:bodyPr>
        <a:lstStyle/>
        <a:p>
          <a:pPr algn="ctr"/>
          <a:r>
            <a:rPr lang="en-US" sz="4000" b="0" cap="none" spc="0">
              <a:ln w="0"/>
              <a:solidFill>
                <a:schemeClr val="accent5"/>
              </a:solidFill>
              <a:effectLst>
                <a:outerShdw blurRad="38100" dist="25400" dir="5400000" algn="ctr" rotWithShape="0">
                  <a:srgbClr val="6E747A">
                    <a:alpha val="43000"/>
                  </a:srgbClr>
                </a:outerShdw>
              </a:effectLst>
            </a:rPr>
            <a:t>Porter</a:t>
          </a:r>
          <a:r>
            <a:rPr lang="en-US" sz="4000" b="0" cap="none" spc="0" baseline="0">
              <a:ln w="0"/>
              <a:solidFill>
                <a:schemeClr val="accent5"/>
              </a:solidFill>
              <a:effectLst>
                <a:outerShdw blurRad="38100" dist="25400" dir="5400000" algn="ctr" rotWithShape="0">
                  <a:srgbClr val="6E747A">
                    <a:alpha val="43000"/>
                  </a:srgbClr>
                </a:outerShdw>
              </a:effectLst>
            </a:rPr>
            <a:t> 360 Client Survey</a:t>
          </a:r>
          <a:endParaRPr lang="en-US" sz="4000" b="0" cap="none" spc="0">
            <a:ln w="0"/>
            <a:solidFill>
              <a:schemeClr val="accent5"/>
            </a:solidFill>
            <a:effectLst>
              <a:outerShdw blurRad="38100" dist="25400" dir="5400000" algn="ctr" rotWithShape="0">
                <a:srgbClr val="6E747A">
                  <a:alpha val="43000"/>
                </a:srgb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7</xdr:col>
          <xdr:colOff>57150</xdr:colOff>
          <xdr:row>10</xdr:row>
          <xdr:rowOff>171450</xdr:rowOff>
        </xdr:from>
        <xdr:to>
          <xdr:col>8</xdr:col>
          <xdr:colOff>104775</xdr:colOff>
          <xdr:row>12</xdr:row>
          <xdr:rowOff>28575</xdr:rowOff>
        </xdr:to>
        <xdr:sp macro="" textlink="">
          <xdr:nvSpPr>
            <xdr:cNvPr id="1034" name="Option 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Website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14</xdr:row>
          <xdr:rowOff>47625</xdr:rowOff>
        </xdr:from>
        <xdr:to>
          <xdr:col>7</xdr:col>
          <xdr:colOff>419100</xdr:colOff>
          <xdr:row>15</xdr:row>
          <xdr:rowOff>57150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Video doorbell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16</xdr:row>
          <xdr:rowOff>0</xdr:rowOff>
        </xdr:from>
        <xdr:to>
          <xdr:col>7</xdr:col>
          <xdr:colOff>247650</xdr:colOff>
          <xdr:row>17</xdr:row>
          <xdr:rowOff>95250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Lucida Grande"/>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123826</xdr:colOff>
      <xdr:row>0</xdr:row>
      <xdr:rowOff>28575</xdr:rowOff>
    </xdr:from>
    <xdr:to>
      <xdr:col>0</xdr:col>
      <xdr:colOff>619126</xdr:colOff>
      <xdr:row>0</xdr:row>
      <xdr:rowOff>633942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826" y="28575"/>
          <a:ext cx="495300" cy="605367"/>
        </a:xfrm>
        <a:prstGeom prst="rect">
          <a:avLst/>
        </a:prstGeom>
      </xdr:spPr>
    </xdr:pic>
    <xdr:clientData/>
  </xdr:twoCellAnchor>
  <xdr:twoCellAnchor>
    <xdr:from>
      <xdr:col>1</xdr:col>
      <xdr:colOff>1504950</xdr:colOff>
      <xdr:row>13</xdr:row>
      <xdr:rowOff>228599</xdr:rowOff>
    </xdr:from>
    <xdr:to>
      <xdr:col>7</xdr:col>
      <xdr:colOff>0</xdr:colOff>
      <xdr:row>28</xdr:row>
      <xdr:rowOff>219074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214312</xdr:colOff>
      <xdr:row>15</xdr:row>
      <xdr:rowOff>85725</xdr:rowOff>
    </xdr:from>
    <xdr:to>
      <xdr:col>13</xdr:col>
      <xdr:colOff>128587</xdr:colOff>
      <xdr:row>30</xdr:row>
      <xdr:rowOff>114300</xdr:rowOff>
    </xdr:to>
    <xdr:graphicFrame macro="">
      <xdr:nvGraphicFramePr>
        <xdr:cNvPr id="4" name="Chart 3">
          <a:extLst>
            <a:ext uri="{FF2B5EF4-FFF2-40B4-BE49-F238E27FC236}">
              <a16:creationId xmlns:a16="http://schemas.microsoft.com/office/drawing/2014/main" id="{FB551232-B13D-FEF7-D196-51BB7A5263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11</xdr:row>
      <xdr:rowOff>0</xdr:rowOff>
    </xdr:from>
    <xdr:to>
      <xdr:col>6</xdr:col>
      <xdr:colOff>9524</xdr:colOff>
      <xdr:row>24</xdr:row>
      <xdr:rowOff>0</xdr:rowOff>
    </xdr:to>
    <xdr:graphicFrame macro="">
      <xdr:nvGraphicFramePr>
        <xdr:cNvPr id="2" name="Chart 1">
          <a:extLst>
            <a:ext uri="{FF2B5EF4-FFF2-40B4-BE49-F238E27FC236}">
              <a16:creationId xmlns:a16="http://schemas.microsoft.com/office/drawing/2014/main" id="{EE8B7EB6-6029-C4EA-0BBE-71C177CBCD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6</xdr:col>
      <xdr:colOff>0</xdr:colOff>
      <xdr:row>9</xdr:row>
      <xdr:rowOff>171450</xdr:rowOff>
    </xdr:to>
    <mc:AlternateContent xmlns:mc="http://schemas.openxmlformats.org/markup-compatibility/2006">
      <mc:Choice xmlns:a14="http://schemas.microsoft.com/office/drawing/2010/main" Requires="a14">
        <xdr:graphicFrame macro="">
          <xdr:nvGraphicFramePr>
            <xdr:cNvPr id="2" name="Order Source">
              <a:extLst>
                <a:ext uri="{FF2B5EF4-FFF2-40B4-BE49-F238E27FC236}">
                  <a16:creationId xmlns:a16="http://schemas.microsoft.com/office/drawing/2014/main" id="{C6796D85-B6D2-DC97-538B-47FEEA1E507C}"/>
                </a:ext>
              </a:extLst>
            </xdr:cNvPr>
            <xdr:cNvGraphicFramePr/>
          </xdr:nvGraphicFramePr>
          <xdr:xfrm>
            <a:off x="0" y="0"/>
            <a:ext cx="0" cy="0"/>
          </xdr:xfrm>
          <a:graphic>
            <a:graphicData uri="http://schemas.microsoft.com/office/drawing/2010/slicer">
              <sle:slicer xmlns:sle="http://schemas.microsoft.com/office/drawing/2010/slicer" name="Order Source"/>
            </a:graphicData>
          </a:graphic>
        </xdr:graphicFrame>
      </mc:Choice>
      <mc:Fallback>
        <xdr:sp macro="" textlink="">
          <xdr:nvSpPr>
            <xdr:cNvPr id="0" name=""/>
            <xdr:cNvSpPr>
              <a:spLocks noTextEdit="1"/>
            </xdr:cNvSpPr>
          </xdr:nvSpPr>
          <xdr:spPr>
            <a:xfrm>
              <a:off x="3619500" y="361950"/>
              <a:ext cx="1371600"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133350</xdr:colOff>
      <xdr:row>0</xdr:row>
      <xdr:rowOff>0</xdr:rowOff>
    </xdr:from>
    <xdr:to>
      <xdr:col>0</xdr:col>
      <xdr:colOff>628650</xdr:colOff>
      <xdr:row>0</xdr:row>
      <xdr:rowOff>605367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50" y="0"/>
          <a:ext cx="495300" cy="60536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123825</xdr:colOff>
      <xdr:row>0</xdr:row>
      <xdr:rowOff>38100</xdr:rowOff>
    </xdr:from>
    <xdr:to>
      <xdr:col>0</xdr:col>
      <xdr:colOff>619125</xdr:colOff>
      <xdr:row>0</xdr:row>
      <xdr:rowOff>643467</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825" y="38100"/>
          <a:ext cx="495300" cy="605367"/>
        </a:xfrm>
        <a:prstGeom prst="rect">
          <a:avLst/>
        </a:prstGeom>
      </xdr:spPr>
    </xdr:pic>
    <xdr:clientData/>
  </xdr:twoCellAnchor>
  <xdr:twoCellAnchor>
    <xdr:from>
      <xdr:col>3</xdr:col>
      <xdr:colOff>28575</xdr:colOff>
      <xdr:row>30</xdr:row>
      <xdr:rowOff>180974</xdr:rowOff>
    </xdr:from>
    <xdr:to>
      <xdr:col>11</xdr:col>
      <xdr:colOff>666750</xdr:colOff>
      <xdr:row>47</xdr:row>
      <xdr:rowOff>161924</xdr:rowOff>
    </xdr:to>
    <xdr:graphicFrame macro="">
      <xdr:nvGraphicFramePr>
        <xdr:cNvPr id="3" name="Chart 2">
          <a:extLst>
            <a:ext uri="{FF2B5EF4-FFF2-40B4-BE49-F238E27FC236}">
              <a16:creationId xmlns:a16="http://schemas.microsoft.com/office/drawing/2014/main" id="{9A1756EB-B29A-39BD-7BD0-42DBDD53FD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23811</xdr:colOff>
      <xdr:row>13</xdr:row>
      <xdr:rowOff>28574</xdr:rowOff>
    </xdr:from>
    <xdr:to>
      <xdr:col>11</xdr:col>
      <xdr:colOff>638174</xdr:colOff>
      <xdr:row>29</xdr:row>
      <xdr:rowOff>171449</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1D2387AD-468E-F828-9AFE-5C984325A44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271961" y="2886074"/>
              <a:ext cx="4900613" cy="30384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28575</xdr:rowOff>
    </xdr:from>
    <xdr:to>
      <xdr:col>0</xdr:col>
      <xdr:colOff>638175</xdr:colOff>
      <xdr:row>0</xdr:row>
      <xdr:rowOff>633942</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875" y="28575"/>
          <a:ext cx="495300" cy="605367"/>
        </a:xfrm>
        <a:prstGeom prst="rect">
          <a:avLst/>
        </a:prstGeom>
      </xdr:spPr>
    </xdr:pic>
    <xdr:clientData/>
  </xdr:twoCellAnchor>
  <xdr:twoCellAnchor>
    <xdr:from>
      <xdr:col>3</xdr:col>
      <xdr:colOff>19049</xdr:colOff>
      <xdr:row>14</xdr:row>
      <xdr:rowOff>214312</xdr:rowOff>
    </xdr:from>
    <xdr:to>
      <xdr:col>8</xdr:col>
      <xdr:colOff>761999</xdr:colOff>
      <xdr:row>27</xdr:row>
      <xdr:rowOff>61912</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133350</xdr:colOff>
      <xdr:row>0</xdr:row>
      <xdr:rowOff>38100</xdr:rowOff>
    </xdr:from>
    <xdr:to>
      <xdr:col>0</xdr:col>
      <xdr:colOff>628650</xdr:colOff>
      <xdr:row>0</xdr:row>
      <xdr:rowOff>643467</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50" y="38100"/>
          <a:ext cx="495300" cy="60536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thew Arceneaux" refreshedDate="45634.401699884256" createdVersion="8" refreshedVersion="8" minRefreshableVersion="3" recordCount="27" xr:uid="{3B5D489B-4FFD-464F-B5EA-C417964F6B90}">
  <cacheSource type="worksheet">
    <worksheetSource name="Orders"/>
  </cacheSource>
  <cacheFields count="6">
    <cacheField name="Cust ID" numFmtId="0">
      <sharedItems containsSemiMixedTypes="0" containsString="0" containsNumber="1" containsInteger="1" minValue="2010" maxValue="2208"/>
    </cacheField>
    <cacheField name="Region" numFmtId="0">
      <sharedItems count="5">
        <s v="Northwest"/>
        <s v="Southeast"/>
        <s v="Northeast"/>
        <s v="Midwest"/>
        <s v="Southwest"/>
      </sharedItems>
    </cacheField>
    <cacheField name="Product ID" numFmtId="0">
      <sharedItems/>
    </cacheField>
    <cacheField name="Product Type" numFmtId="0">
      <sharedItems/>
    </cacheField>
    <cacheField name="Order Source" numFmtId="0">
      <sharedItems/>
    </cacheField>
    <cacheField name="Payment" numFmtId="165">
      <sharedItems containsSemiMixedTypes="0" containsString="0" containsNumber="1" containsInteger="1" minValue="179" maxValue="25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thew Arceneaux" refreshedDate="45634.40656747685" createdVersion="8" refreshedVersion="8" minRefreshableVersion="3" recordCount="27" xr:uid="{072505CB-F83C-4A64-96D4-F0B33E499C21}">
  <cacheSource type="worksheet">
    <worksheetSource name="Orders"/>
  </cacheSource>
  <cacheFields count="7">
    <cacheField name="Cust ID" numFmtId="0">
      <sharedItems containsSemiMixedTypes="0" containsString="0" containsNumber="1" containsInteger="1" minValue="2010" maxValue="2208"/>
    </cacheField>
    <cacheField name="Region" numFmtId="0">
      <sharedItems/>
    </cacheField>
    <cacheField name="Product ID" numFmtId="0">
      <sharedItems count="8">
        <s v="FL110"/>
        <s v="DB100"/>
        <s v="CM310"/>
        <s v="CM330"/>
        <s v="FL150"/>
        <s v="DB120"/>
        <s v="AL200"/>
        <s v="AL220"/>
      </sharedItems>
    </cacheField>
    <cacheField name="Product Type" numFmtId="0">
      <sharedItems count="4">
        <s v="Floodlight"/>
        <s v="Doorbell"/>
        <s v="Camera"/>
        <s v="Alarm"/>
      </sharedItems>
    </cacheField>
    <cacheField name="Order Source" numFmtId="0">
      <sharedItems count="3">
        <s v="Online"/>
        <s v="Direct"/>
        <s v="Hardware store"/>
      </sharedItems>
    </cacheField>
    <cacheField name="Payment" numFmtId="165">
      <sharedItems containsSemiMixedTypes="0" containsString="0" containsNumber="1" containsInteger="1" minValue="179" maxValue="259"/>
    </cacheField>
    <cacheField name="Price" numFmtId="0" formula="Payment *0.1+Payment" databaseField="0"/>
  </cacheFields>
  <extLst>
    <ext xmlns:x14="http://schemas.microsoft.com/office/spreadsheetml/2009/9/main" uri="{725AE2AE-9491-48be-B2B4-4EB974FC3084}">
      <x14:pivotCacheDefinition pivotCacheId="88832027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thew Arceneaux" refreshedDate="45634.430222337964" backgroundQuery="1" createdVersion="8" refreshedVersion="8" minRefreshableVersion="3" recordCount="0" supportSubquery="1" supportAdvancedDrill="1" xr:uid="{83D8B12D-AD9D-40B9-815B-FC334DC3D8E9}">
  <cacheSource type="external" connectionId="3"/>
  <cacheFields count="3">
    <cacheField name="[SalesReps].[LastName].[LastName]" caption="LastName" numFmtId="0" hierarchy="5" level="1">
      <sharedItems count="17">
        <s v="Amberson"/>
        <s v="Chang"/>
        <s v="Federson"/>
        <s v="Garcia"/>
        <s v="Gupta"/>
        <s v="Hermanez"/>
        <s v="Hilliard"/>
        <s v="Hopkins"/>
        <s v="Martinez"/>
        <s v="McCloskey"/>
        <s v="Mitrov"/>
        <s v="Nelson"/>
        <s v="Riccio"/>
        <s v="Rodgerio"/>
        <s v="Sanderson"/>
        <s v="Suarez"/>
        <s v="Watanabe"/>
      </sharedItems>
    </cacheField>
    <cacheField name="[SalesReps].[Region].[Region]" caption="Region" numFmtId="0" hierarchy="6" level="1">
      <sharedItems count="5">
        <s v="Midwest"/>
        <s v="Northeast"/>
        <s v="Northwest"/>
        <s v="Southeast"/>
        <s v="Southwest"/>
      </sharedItems>
    </cacheField>
    <cacheField name="[Measures].[Sum of TotalSales]" caption="Sum of TotalSales" numFmtId="0" hierarchy="10" level="32767"/>
  </cacheFields>
  <cacheHierarchies count="11">
    <cacheHierarchy uniqueName="[Sales].[ID]" caption="ID" attribute="1" defaultMemberUniqueName="[Sales].[ID].[All]" allUniqueName="[Sales].[ID].[All]" dimensionUniqueName="[Sales]" displayFolder="" count="0" memberValueDatatype="20" unbalanced="0"/>
    <cacheHierarchy uniqueName="[Sales].[SalesRepID]" caption="SalesRepID" attribute="1" defaultMemberUniqueName="[Sales].[SalesRepID].[All]" allUniqueName="[Sales].[SalesRepID].[All]" dimensionUniqueName="[Sales]" displayFolder="" count="0" memberValueDatatype="5" unbalanced="0"/>
    <cacheHierarchy uniqueName="[Sales].[UnitsSold]" caption="UnitsSold" attribute="1" defaultMemberUniqueName="[Sales].[UnitsSold].[All]" allUniqueName="[Sales].[UnitsSold].[All]" dimensionUniqueName="[Sales]" displayFolder="" count="0" memberValueDatatype="5" unbalanced="0"/>
    <cacheHierarchy uniqueName="[Sales].[TotalSales]" caption="TotalSales" attribute="1" defaultMemberUniqueName="[Sales].[TotalSales].[All]" allUniqueName="[Sales].[TotalSales].[All]" dimensionUniqueName="[Sales]" displayFolder="" count="0" memberValueDatatype="6" unbalanced="0"/>
    <cacheHierarchy uniqueName="[SalesReps].[SalesRepID]" caption="SalesRepID" attribute="1" defaultMemberUniqueName="[SalesReps].[SalesRepID].[All]" allUniqueName="[SalesReps].[SalesRepID].[All]" dimensionUniqueName="[SalesReps]" displayFolder="" count="0" memberValueDatatype="5" unbalanced="0"/>
    <cacheHierarchy uniqueName="[SalesReps].[LastName]" caption="LastName" attribute="1" defaultMemberUniqueName="[SalesReps].[LastName].[All]" allUniqueName="[SalesReps].[LastName].[All]" dimensionUniqueName="[SalesReps]" displayFolder="" count="2" memberValueDatatype="130" unbalanced="0">
      <fieldsUsage count="2">
        <fieldUsage x="-1"/>
        <fieldUsage x="0"/>
      </fieldsUsage>
    </cacheHierarchy>
    <cacheHierarchy uniqueName="[SalesReps].[Region]" caption="Region" attribute="1" defaultMemberUniqueName="[SalesReps].[Region].[All]" allUniqueName="[SalesReps].[Region].[All]" dimensionUniqueName="[SalesReps]" displayFolder="" count="2" memberValueDatatype="130" unbalanced="0">
      <fieldsUsage count="2">
        <fieldUsage x="-1"/>
        <fieldUsage x="1"/>
      </fieldsUsage>
    </cacheHierarchy>
    <cacheHierarchy uniqueName="[Measures].[__XL_Count Sales]" caption="__XL_Count Sales" measure="1" displayFolder="" measureGroup="Sales" count="0" hidden="1"/>
    <cacheHierarchy uniqueName="[Measures].[__XL_Count SalesReps]" caption="__XL_Count SalesReps" measure="1" displayFolder="" measureGroup="SalesReps" count="0" hidden="1"/>
    <cacheHierarchy uniqueName="[Measures].[__No measures defined]" caption="__No measures defined" measure="1" displayFolder="" count="0" hidden="1"/>
    <cacheHierarchy uniqueName="[Measures].[Sum of TotalSales]" caption="Sum of TotalSales" measure="1" displayFolder="" measureGroup="Sales" count="0" oneField="1" hidden="1">
      <fieldsUsage count="1">
        <fieldUsage x="2"/>
      </fieldsUsage>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Sales" uniqueName="[Sales]" caption="Sales"/>
    <dimension name="SalesReps" uniqueName="[SalesReps]" caption="SalesReps"/>
  </dimensions>
  <measureGroups count="2">
    <measureGroup name="Sales" caption="Sales"/>
    <measureGroup name="SalesReps" caption="SalesRep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n v="2010"/>
    <x v="0"/>
    <s v="FL110"/>
    <s v="Floodlight"/>
    <s v="Online"/>
    <n v="229"/>
  </r>
  <r>
    <n v="2012"/>
    <x v="1"/>
    <s v="DB100"/>
    <s v="Doorbell"/>
    <s v="Online"/>
    <n v="199"/>
  </r>
  <r>
    <n v="2019"/>
    <x v="2"/>
    <s v="DB100"/>
    <s v="Doorbell"/>
    <s v="Direct"/>
    <n v="199"/>
  </r>
  <r>
    <n v="2020"/>
    <x v="2"/>
    <s v="CM310"/>
    <s v="Camera"/>
    <s v="Hardware store"/>
    <n v="179"/>
  </r>
  <r>
    <n v="2022"/>
    <x v="0"/>
    <s v="CM330"/>
    <s v="Camera"/>
    <s v="Online"/>
    <n v="219"/>
  </r>
  <r>
    <n v="2023"/>
    <x v="3"/>
    <s v="DB100"/>
    <s v="Doorbell"/>
    <s v="Hardware store"/>
    <n v="209"/>
  </r>
  <r>
    <n v="2027"/>
    <x v="2"/>
    <s v="FL150"/>
    <s v="Floodlight"/>
    <s v="Online"/>
    <n v="249"/>
  </r>
  <r>
    <n v="2029"/>
    <x v="3"/>
    <s v="DB120"/>
    <s v="Doorbell"/>
    <s v="Online"/>
    <n v="209"/>
  </r>
  <r>
    <n v="2031"/>
    <x v="3"/>
    <s v="AL200"/>
    <s v="Alarm"/>
    <s v="Online"/>
    <n v="249"/>
  </r>
  <r>
    <n v="2033"/>
    <x v="0"/>
    <s v="CM310"/>
    <s v="Camera"/>
    <s v="Hardware store"/>
    <n v="179"/>
  </r>
  <r>
    <n v="2037"/>
    <x v="4"/>
    <s v="DB100"/>
    <s v="Doorbell"/>
    <s v="Online"/>
    <n v="199"/>
  </r>
  <r>
    <n v="2039"/>
    <x v="1"/>
    <s v="AL220"/>
    <s v="Alarm"/>
    <s v="Direct"/>
    <n v="259"/>
  </r>
  <r>
    <n v="2102"/>
    <x v="3"/>
    <s v="FL110"/>
    <s v="Floodlight"/>
    <s v="Online"/>
    <n v="229"/>
  </r>
  <r>
    <n v="2104"/>
    <x v="0"/>
    <s v="DB100"/>
    <s v="Doorbell"/>
    <s v="Online"/>
    <n v="199"/>
  </r>
  <r>
    <n v="2106"/>
    <x v="2"/>
    <s v="DB100"/>
    <s v="Doorbell"/>
    <s v="Online"/>
    <n v="199"/>
  </r>
  <r>
    <n v="2108"/>
    <x v="4"/>
    <s v="CM310"/>
    <s v="Camera"/>
    <s v="Direct"/>
    <n v="179"/>
  </r>
  <r>
    <n v="2110"/>
    <x v="3"/>
    <s v="AL200"/>
    <s v="Alarm"/>
    <s v="Online"/>
    <n v="249"/>
  </r>
  <r>
    <n v="2112"/>
    <x v="1"/>
    <s v="FL110"/>
    <s v="Floodlight"/>
    <s v="Hardware store"/>
    <n v="229"/>
  </r>
  <r>
    <n v="2114"/>
    <x v="4"/>
    <s v="DB120"/>
    <s v="Doorbell"/>
    <s v="Online"/>
    <n v="209"/>
  </r>
  <r>
    <n v="2116"/>
    <x v="2"/>
    <s v="DB100"/>
    <s v="Doorbell"/>
    <s v="Hardware store"/>
    <n v="199"/>
  </r>
  <r>
    <n v="2118"/>
    <x v="2"/>
    <s v="CM310"/>
    <s v="Camera"/>
    <s v="Online"/>
    <n v="179"/>
  </r>
  <r>
    <n v="2120"/>
    <x v="3"/>
    <s v="CM330"/>
    <s v="Camera"/>
    <s v="Direct"/>
    <n v="219"/>
  </r>
  <r>
    <n v="2122"/>
    <x v="1"/>
    <s v="AL220"/>
    <s v="Alarm"/>
    <s v="Online"/>
    <n v="259"/>
  </r>
  <r>
    <n v="2128"/>
    <x v="0"/>
    <s v="DB100"/>
    <s v="Doorbell"/>
    <s v="Online"/>
    <n v="199"/>
  </r>
  <r>
    <n v="2201"/>
    <x v="3"/>
    <s v="CM310"/>
    <s v="Camera"/>
    <s v="Online"/>
    <n v="179"/>
  </r>
  <r>
    <n v="2207"/>
    <x v="0"/>
    <s v="AL200"/>
    <s v="Alarm"/>
    <s v="Direct"/>
    <n v="249"/>
  </r>
  <r>
    <n v="2208"/>
    <x v="4"/>
    <s v="FL110"/>
    <s v="Floodlight"/>
    <s v="Hardware store"/>
    <n v="22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n v="2010"/>
    <s v="Northwest"/>
    <x v="0"/>
    <x v="0"/>
    <x v="0"/>
    <n v="229"/>
  </r>
  <r>
    <n v="2012"/>
    <s v="Southeast"/>
    <x v="1"/>
    <x v="1"/>
    <x v="0"/>
    <n v="199"/>
  </r>
  <r>
    <n v="2019"/>
    <s v="Northeast"/>
    <x v="1"/>
    <x v="1"/>
    <x v="1"/>
    <n v="199"/>
  </r>
  <r>
    <n v="2020"/>
    <s v="Northeast"/>
    <x v="2"/>
    <x v="2"/>
    <x v="2"/>
    <n v="179"/>
  </r>
  <r>
    <n v="2022"/>
    <s v="Northwest"/>
    <x v="3"/>
    <x v="2"/>
    <x v="0"/>
    <n v="219"/>
  </r>
  <r>
    <n v="2023"/>
    <s v="Midwest"/>
    <x v="1"/>
    <x v="1"/>
    <x v="2"/>
    <n v="209"/>
  </r>
  <r>
    <n v="2027"/>
    <s v="Northeast"/>
    <x v="4"/>
    <x v="0"/>
    <x v="0"/>
    <n v="249"/>
  </r>
  <r>
    <n v="2029"/>
    <s v="Midwest"/>
    <x v="5"/>
    <x v="1"/>
    <x v="0"/>
    <n v="209"/>
  </r>
  <r>
    <n v="2031"/>
    <s v="Midwest"/>
    <x v="6"/>
    <x v="3"/>
    <x v="0"/>
    <n v="249"/>
  </r>
  <r>
    <n v="2033"/>
    <s v="Northwest"/>
    <x v="2"/>
    <x v="2"/>
    <x v="2"/>
    <n v="179"/>
  </r>
  <r>
    <n v="2037"/>
    <s v="Southwest"/>
    <x v="1"/>
    <x v="1"/>
    <x v="0"/>
    <n v="199"/>
  </r>
  <r>
    <n v="2039"/>
    <s v="Southeast"/>
    <x v="7"/>
    <x v="3"/>
    <x v="1"/>
    <n v="259"/>
  </r>
  <r>
    <n v="2102"/>
    <s v="Midwest"/>
    <x v="0"/>
    <x v="0"/>
    <x v="0"/>
    <n v="229"/>
  </r>
  <r>
    <n v="2104"/>
    <s v="Northwest"/>
    <x v="1"/>
    <x v="1"/>
    <x v="0"/>
    <n v="199"/>
  </r>
  <r>
    <n v="2106"/>
    <s v="Northeast"/>
    <x v="1"/>
    <x v="1"/>
    <x v="0"/>
    <n v="199"/>
  </r>
  <r>
    <n v="2108"/>
    <s v="Southwest"/>
    <x v="2"/>
    <x v="2"/>
    <x v="1"/>
    <n v="179"/>
  </r>
  <r>
    <n v="2110"/>
    <s v="Midwest"/>
    <x v="6"/>
    <x v="3"/>
    <x v="0"/>
    <n v="249"/>
  </r>
  <r>
    <n v="2112"/>
    <s v="Southeast"/>
    <x v="0"/>
    <x v="0"/>
    <x v="2"/>
    <n v="229"/>
  </r>
  <r>
    <n v="2114"/>
    <s v="Southwest"/>
    <x v="5"/>
    <x v="1"/>
    <x v="0"/>
    <n v="209"/>
  </r>
  <r>
    <n v="2116"/>
    <s v="Northeast"/>
    <x v="1"/>
    <x v="1"/>
    <x v="2"/>
    <n v="199"/>
  </r>
  <r>
    <n v="2118"/>
    <s v="Northeast"/>
    <x v="2"/>
    <x v="2"/>
    <x v="0"/>
    <n v="179"/>
  </r>
  <r>
    <n v="2120"/>
    <s v="Midwest"/>
    <x v="3"/>
    <x v="2"/>
    <x v="1"/>
    <n v="219"/>
  </r>
  <r>
    <n v="2122"/>
    <s v="Southeast"/>
    <x v="7"/>
    <x v="3"/>
    <x v="0"/>
    <n v="259"/>
  </r>
  <r>
    <n v="2128"/>
    <s v="Northwest"/>
    <x v="1"/>
    <x v="1"/>
    <x v="0"/>
    <n v="199"/>
  </r>
  <r>
    <n v="2201"/>
    <s v="Midwest"/>
    <x v="2"/>
    <x v="2"/>
    <x v="0"/>
    <n v="179"/>
  </r>
  <r>
    <n v="2207"/>
    <s v="Northwest"/>
    <x v="6"/>
    <x v="3"/>
    <x v="1"/>
    <n v="249"/>
  </r>
  <r>
    <n v="2208"/>
    <s v="Southwest"/>
    <x v="0"/>
    <x v="0"/>
    <x v="2"/>
    <n v="2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0B09C34-8F4E-4A17-A8B2-E68B62C00E1C}" name="PivotTable4"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C9" firstHeaderRow="0" firstDataRow="1" firstDataCol="1"/>
  <pivotFields count="6">
    <pivotField showAll="0"/>
    <pivotField axis="axisRow" showAll="0">
      <items count="6">
        <item x="3"/>
        <item x="2"/>
        <item x="0"/>
        <item x="1"/>
        <item x="4"/>
        <item t="default"/>
      </items>
    </pivotField>
    <pivotField showAll="0"/>
    <pivotField showAll="0"/>
    <pivotField showAll="0"/>
    <pivotField dataField="1" numFmtId="165" showAll="0"/>
  </pivotFields>
  <rowFields count="1">
    <field x="1"/>
  </rowFields>
  <rowItems count="6">
    <i>
      <x/>
    </i>
    <i>
      <x v="1"/>
    </i>
    <i>
      <x v="2"/>
    </i>
    <i>
      <x v="3"/>
    </i>
    <i>
      <x v="4"/>
    </i>
    <i t="grand">
      <x/>
    </i>
  </rowItems>
  <colFields count="1">
    <field x="-2"/>
  </colFields>
  <colItems count="2">
    <i>
      <x/>
    </i>
    <i i="1">
      <x v="1"/>
    </i>
  </colItems>
  <dataFields count="2">
    <dataField name="Total Sales" fld="5" baseField="0" baseItem="0" numFmtId="165"/>
    <dataField name="Average Sales" fld="5" subtotal="average" baseField="1" baseItem="2" numFmtId="165"/>
  </dataFields>
  <formats count="1">
    <format dxfId="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AE1DD2-0932-4477-A23E-D5AFB785D11B}" name="PivotTable8" cacheId="35" applyNumberFormats="0" applyBorderFormats="0" applyFontFormats="0" applyPatternFormats="0" applyAlignmentFormats="0" applyWidthHeightFormats="1" dataCaption="Values" tag="715188be-c6ba-4c22-8eba-628487bf3744" updatedVersion="8" minRefreshableVersion="3" useAutoFormatting="1" itemPrintTitles="1" createdVersion="8" indent="0" outline="1" outlineData="1" multipleFieldFilters="0">
  <location ref="A3:G22" firstHeaderRow="1" firstDataRow="2" firstDataCol="1"/>
  <pivotFields count="3">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xis="axisCol"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18">
    <i>
      <x/>
    </i>
    <i>
      <x v="1"/>
    </i>
    <i>
      <x v="2"/>
    </i>
    <i>
      <x v="3"/>
    </i>
    <i>
      <x v="4"/>
    </i>
    <i>
      <x v="5"/>
    </i>
    <i>
      <x v="6"/>
    </i>
    <i>
      <x v="7"/>
    </i>
    <i>
      <x v="8"/>
    </i>
    <i>
      <x v="9"/>
    </i>
    <i>
      <x v="10"/>
    </i>
    <i>
      <x v="11"/>
    </i>
    <i>
      <x v="12"/>
    </i>
    <i>
      <x v="13"/>
    </i>
    <i>
      <x v="14"/>
    </i>
    <i>
      <x v="15"/>
    </i>
    <i>
      <x v="16"/>
    </i>
    <i t="grand">
      <x/>
    </i>
  </rowItems>
  <colFields count="1">
    <field x="1"/>
  </colFields>
  <colItems count="6">
    <i>
      <x/>
    </i>
    <i>
      <x v="1"/>
    </i>
    <i>
      <x v="2"/>
    </i>
    <i>
      <x v="3"/>
    </i>
    <i>
      <x v="4"/>
    </i>
    <i t="grand">
      <x/>
    </i>
  </colItems>
  <dataFields count="1">
    <dataField name="Sum of TotalSales" fld="2" baseField="0" baseItem="0"/>
  </dataFields>
  <pivotHierarchies count="1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Rep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48BA2B-A327-428E-BD49-A7E089C7CDF6}" name="MaySales" cacheId="23"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location ref="A3:D10" firstHeaderRow="0" firstDataRow="1" firstDataCol="2"/>
  <pivotFields count="7">
    <pivotField compact="0" outline="0" showAll="0"/>
    <pivotField compact="0" outline="0" showAll="0"/>
    <pivotField axis="axisRow" compact="0" outline="0" showAll="0">
      <items count="9">
        <item x="6"/>
        <item x="7"/>
        <item x="2"/>
        <item x="3"/>
        <item x="1"/>
        <item x="5"/>
        <item x="0"/>
        <item x="4"/>
        <item t="default"/>
      </items>
    </pivotField>
    <pivotField axis="axisRow" compact="0" outline="0" showAll="0">
      <items count="5">
        <item x="3"/>
        <item x="2"/>
        <item x="1"/>
        <item x="0"/>
        <item t="default" sd="0"/>
      </items>
    </pivotField>
    <pivotField compact="0" outline="0" showAll="0">
      <items count="4">
        <item h="1" x="1"/>
        <item x="2"/>
        <item h="1" x="0"/>
        <item t="default"/>
      </items>
    </pivotField>
    <pivotField dataField="1" compact="0" numFmtId="165" outline="0" showAll="0"/>
    <pivotField dataField="1" compact="0" outline="0" dragToRow="0" dragToCol="0" dragToPage="0" showAll="0" defaultSubtotal="0"/>
  </pivotFields>
  <rowFields count="2">
    <field x="3"/>
    <field x="2"/>
  </rowFields>
  <rowItems count="7">
    <i>
      <x v="1"/>
      <x v="2"/>
    </i>
    <i t="default">
      <x v="1"/>
    </i>
    <i>
      <x v="2"/>
      <x v="4"/>
    </i>
    <i t="default">
      <x v="2"/>
    </i>
    <i>
      <x v="3"/>
      <x v="6"/>
    </i>
    <i t="default">
      <x v="3"/>
    </i>
    <i t="grand">
      <x/>
    </i>
  </rowItems>
  <colFields count="1">
    <field x="-2"/>
  </colFields>
  <colItems count="2">
    <i>
      <x/>
    </i>
    <i i="1">
      <x v="1"/>
    </i>
  </colItems>
  <dataFields count="2">
    <dataField name="Current Price" fld="5" baseField="0" baseItem="0" numFmtId="165"/>
    <dataField name="Increased price" fld="6" baseField="0" baseItem="0" numFmtId="165"/>
  </dataFields>
  <formats count="2">
    <format dxfId="1">
      <pivotArea dataOnly="0" labelOnly="1" outline="0" axis="axisValues" fieldPosition="0"/>
    </format>
    <format dxfId="0">
      <pivotArea outline="0" collapsedLevelsAreSubtotals="1"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ource" xr10:uid="{F58D3107-0640-4CFF-A4E8-FE08CC8911E1}" sourceName="Order Source">
  <pivotTables>
    <pivotTable tabId="12" name="MaySales"/>
  </pivotTables>
  <data>
    <tabular pivotCacheId="888320270">
      <items count="3">
        <i x="1"/>
        <i x="2"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Source" xr10:uid="{936ECF5A-9ED7-46EE-9A2A-C5C6B73772C5}" cache="Slicer_Order_Source" caption="Order Source" style="SlicerStyleLight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op_Sellers" displayName="Top_Sellers" ref="A3:G13" totalsRowShown="0" headerRowDxfId="24" headerRowCellStyle="40% - Accent5">
  <autoFilter ref="A3:G13" xr:uid="{00000000-0009-0000-0100-000001000000}"/>
  <tableColumns count="7">
    <tableColumn id="1" xr3:uid="{00000000-0010-0000-0000-000001000000}" name="Product ID" totalsRowDxfId="23"/>
    <tableColumn id="2" xr3:uid="{00000000-0010-0000-0000-000002000000}" name="Product Name" totalsRowDxfId="22"/>
    <tableColumn id="3" xr3:uid="{00000000-0010-0000-0000-000003000000}" name="Product Type" totalsRowDxfId="21"/>
    <tableColumn id="4" xr3:uid="{00000000-0010-0000-0000-000004000000}" name="Unit Price" dataDxfId="20" totalsRowDxfId="19"/>
    <tableColumn id="5" xr3:uid="{00000000-0010-0000-0000-000005000000}" name="Year 1 Sales" dataDxfId="18" totalsRowDxfId="17"/>
    <tableColumn id="6" xr3:uid="{00000000-0010-0000-0000-000006000000}" name="Year 2 Sales" dataDxfId="16" totalsRowDxfId="15"/>
    <tableColumn id="7" xr3:uid="{00000000-0010-0000-0000-000007000000}" name="Difference" dataDxfId="3" totalsRowDxfId="14" dataCellStyle="Total">
      <calculatedColumnFormula>Top_Sellers[[#This Row],[Year 2 Sales]]-Top_Sellers[[#This Row],[Year 1 Sales]]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esearch_Expenses" displayName="Research_Expenses" ref="I3:K15" totalsRowShown="0" headerRowDxfId="13">
  <autoFilter ref="I3:K15" xr:uid="{00000000-0009-0000-0100-000002000000}"/>
  <tableColumns count="3">
    <tableColumn id="1" xr3:uid="{00000000-0010-0000-0100-000001000000}" name="Month" dataDxfId="12"/>
    <tableColumn id="2" xr3:uid="{00000000-0010-0000-0100-000002000000}" name="R&amp;D Expenses" dataDxfId="11"/>
    <tableColumn id="3" xr3:uid="{00000000-0010-0000-0100-000003000000}" name="Sales" dataDxfId="10"/>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Orders" displayName="Orders" ref="A3:F30" totalsRowShown="0">
  <autoFilter ref="A3:F30" xr:uid="{00000000-0009-0000-0100-000003000000}"/>
  <tableColumns count="6">
    <tableColumn id="1" xr3:uid="{00000000-0010-0000-0200-000001000000}" name="Cust ID"/>
    <tableColumn id="2" xr3:uid="{00000000-0010-0000-0200-000002000000}" name="Region"/>
    <tableColumn id="3" xr3:uid="{00000000-0010-0000-0200-000003000000}" name="Product ID"/>
    <tableColumn id="4" xr3:uid="{00000000-0010-0000-0200-000004000000}" name="Product Type">
      <calculatedColumnFormula>VLOOKUP(C4,$H$4:$I$11,2,FALSE)</calculatedColumnFormula>
    </tableColumn>
    <tableColumn id="5" xr3:uid="{00000000-0010-0000-0200-000005000000}" name="Order Source"/>
    <tableColumn id="6" xr3:uid="{00000000-0010-0000-0200-000006000000}" name="Payment" dataDxfId="9"/>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Installations" displayName="Installations" ref="A3:D30" totalsRowShown="0" headerRowDxfId="8">
  <autoFilter ref="A3:D30" xr:uid="{00000000-0009-0000-0100-000004000000}"/>
  <tableColumns count="4">
    <tableColumn id="1" xr3:uid="{00000000-0010-0000-0300-000001000000}" name="Cust ID"/>
    <tableColumn id="2" xr3:uid="{00000000-0010-0000-0300-000002000000}" name="Date Requested" dataDxfId="7"/>
    <tableColumn id="3" xr3:uid="{00000000-0010-0000-0300-000003000000}" name="Date Installed" dataDxfId="6"/>
    <tableColumn id="4" xr3:uid="{00000000-0010-0000-0300-000004000000}" name="Days" dataDxfId="5">
      <calculatedColumnFormula>C4-B4</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Accessories" displayName="Accessories" ref="H3:K13" totalsRowShown="0">
  <autoFilter ref="H3:K13" xr:uid="{00000000-0009-0000-0100-000005000000}"/>
  <tableColumns count="4">
    <tableColumn id="1" xr3:uid="{00000000-0010-0000-0400-000001000000}" name="Category"/>
    <tableColumn id="2" xr3:uid="{00000000-0010-0000-0400-000002000000}" name="Product"/>
    <tableColumn id="3" xr3:uid="{00000000-0010-0000-0400-000003000000}" name="Model"/>
    <tableColumn id="4" xr3:uid="{00000000-0010-0000-0400-000004000000}" name="Sales" dataDxfId="4"/>
  </tableColumns>
  <tableStyleInfo name="TableStyleMedium6" showFirstColumn="0" showLastColumn="0" showRowStripes="1" showColumnStripes="0"/>
</table>
</file>

<file path=xl/theme/theme1.xml><?xml version="1.0" encoding="utf-8"?>
<a:theme xmlns:a="http://schemas.openxmlformats.org/drawingml/2006/main" name="Atlas">
  <a:themeElements>
    <a:clrScheme name="Atlas">
      <a:dk1>
        <a:sysClr val="windowText" lastClr="000000"/>
      </a:dk1>
      <a:lt1>
        <a:sysClr val="window" lastClr="FFFFFF"/>
      </a:lt1>
      <a:dk2>
        <a:srgbClr val="454545"/>
      </a:dk2>
      <a:lt2>
        <a:srgbClr val="E0E0E0"/>
      </a:lt2>
      <a:accent1>
        <a:srgbClr val="F81B02"/>
      </a:accent1>
      <a:accent2>
        <a:srgbClr val="FC7715"/>
      </a:accent2>
      <a:accent3>
        <a:srgbClr val="AFBF41"/>
      </a:accent3>
      <a:accent4>
        <a:srgbClr val="50C49F"/>
      </a:accent4>
      <a:accent5>
        <a:srgbClr val="3B95C4"/>
      </a:accent5>
      <a:accent6>
        <a:srgbClr val="B560D4"/>
      </a:accent6>
      <a:hlink>
        <a:srgbClr val="FC5A1A"/>
      </a:hlink>
      <a:folHlink>
        <a:srgbClr val="B49E74"/>
      </a:folHlink>
    </a:clrScheme>
    <a:fontScheme name="Custom 15">
      <a:majorFont>
        <a:latin typeface="Calibri Light"/>
        <a:ea typeface=""/>
        <a:cs typeface=""/>
      </a:majorFont>
      <a:minorFont>
        <a:latin typeface="Lucida Grande"/>
        <a:ea typeface=""/>
        <a:cs typeface=""/>
      </a:minorFont>
    </a:fontScheme>
    <a:fmtScheme name="Atlas">
      <a:fillStyleLst>
        <a:solidFill>
          <a:schemeClr val="phClr"/>
        </a:solidFill>
        <a:gradFill rotWithShape="1">
          <a:gsLst>
            <a:gs pos="0">
              <a:schemeClr val="phClr">
                <a:tint val="62000"/>
                <a:alpha val="60000"/>
                <a:satMod val="109000"/>
                <a:lumMod val="110000"/>
              </a:schemeClr>
            </a:gs>
            <a:gs pos="100000">
              <a:schemeClr val="phClr">
                <a:tint val="78000"/>
                <a:alpha val="92000"/>
                <a:satMod val="109000"/>
                <a:lumMod val="100000"/>
              </a:schemeClr>
            </a:gs>
          </a:gsLst>
          <a:lin ang="5400000" scaled="0"/>
        </a:gradFill>
        <a:gradFill rotWithShape="1">
          <a:gsLst>
            <a:gs pos="0">
              <a:schemeClr val="phClr">
                <a:tint val="98000"/>
                <a:satMod val="110000"/>
                <a:lumMod val="104000"/>
              </a:schemeClr>
            </a:gs>
            <a:gs pos="69000">
              <a:schemeClr val="phClr">
                <a:shade val="84000"/>
                <a:satMod val="130000"/>
                <a:lumMod val="92000"/>
              </a:schemeClr>
            </a:gs>
            <a:gs pos="100000">
              <a:schemeClr val="phClr">
                <a:shade val="76000"/>
                <a:satMod val="130000"/>
                <a:lumMod val="88000"/>
              </a:schemeClr>
            </a:gs>
          </a:gsLst>
          <a:lin ang="5400000" scaled="0"/>
        </a:gradFill>
      </a:fillStyleLst>
      <a:lnStyleLst>
        <a:ln w="9525" cap="flat" cmpd="sng" algn="ctr">
          <a:solidFill>
            <a:schemeClr val="phClr">
              <a:shade val="90000"/>
            </a:schemeClr>
          </a:solidFill>
          <a:prstDash val="solid"/>
        </a:ln>
        <a:ln w="15875" cap="flat" cmpd="sng" algn="ctr">
          <a:solidFill>
            <a:schemeClr val="phClr">
              <a:shade val="90000"/>
            </a:schemeClr>
          </a:solidFill>
          <a:prstDash val="solid"/>
        </a:ln>
        <a:ln w="25400" cap="flat" cmpd="sng" algn="ctr">
          <a:solidFill>
            <a:schemeClr val="phClr"/>
          </a:solidFill>
          <a:prstDash val="solid"/>
        </a:ln>
      </a:lnStyleLst>
      <a:effectStyleLst>
        <a:effectStyle>
          <a:effectLst/>
        </a:effectStyle>
        <a:effectStyle>
          <a:effectLst/>
        </a:effectStyle>
        <a:effectStyle>
          <a:effectLst>
            <a:outerShdw blurRad="38100" dist="25400" dir="5400000" rotWithShape="0">
              <a:srgbClr val="000000">
                <a:alpha val="75000"/>
              </a:srgbClr>
            </a:outerShdw>
          </a:effectLst>
          <a:scene3d>
            <a:camera prst="orthographicFront">
              <a:rot lat="0" lon="0" rev="0"/>
            </a:camera>
            <a:lightRig rig="threePt" dir="tl"/>
          </a:scene3d>
          <a:sp3d>
            <a:bevelT w="0" h="0"/>
          </a:sp3d>
        </a:effectStyle>
      </a:effectStyleLst>
      <a:bgFillStyleLst>
        <a:solidFill>
          <a:schemeClr val="phClr"/>
        </a:solidFill>
        <a:solidFill>
          <a:schemeClr val="phClr"/>
        </a:solidFill>
        <a:gradFill rotWithShape="1">
          <a:gsLst>
            <a:gs pos="10000">
              <a:schemeClr val="phClr">
                <a:tint val="94000"/>
                <a:lumMod val="116000"/>
              </a:schemeClr>
            </a:gs>
            <a:gs pos="100000">
              <a:schemeClr val="phClr">
                <a:tint val="98000"/>
                <a:shade val="86000"/>
                <a:satMod val="90000"/>
                <a:lumMod val="88000"/>
              </a:schemeClr>
            </a:gs>
          </a:gsLst>
          <a:path path="circle">
            <a:fillToRect l="50000" t="15000" r="50000" b="169000"/>
          </a:path>
        </a:gradFill>
      </a:bgFillStyleLst>
    </a:fmtScheme>
  </a:themeElements>
  <a:objectDefaults/>
  <a:extraClrSchemeLst/>
  <a:extLst>
    <a:ext uri="{05A4C25C-085E-4340-85A3-A5531E510DB2}">
      <thm15:themeFamily xmlns:thm15="http://schemas.microsoft.com/office/thememl/2012/main" name="Atlas" id="{47ADF8C0-AAFE-4708-87CF-34F8D765ED11}" vid="{D45D0565-FD09-466E-9832-EF3D3703A49C}"/>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info@porter.example.com" TargetMode="External"/><Relationship Id="rId16" Type="http://schemas.openxmlformats.org/officeDocument/2006/relationships/ctrlProp" Target="../ctrlProps/ctrlProp11.xml"/><Relationship Id="rId1" Type="http://schemas.openxmlformats.org/officeDocument/2006/relationships/hyperlink" Target="http://www.porter.example.com/"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DBF8A-207D-40C8-B432-D47249C52C2E}">
  <sheetPr codeName="Sheet2"/>
  <dimension ref="A1:C11"/>
  <sheetViews>
    <sheetView showGridLines="0" zoomScaleNormal="100" workbookViewId="0">
      <selection activeCell="E1" sqref="E1"/>
    </sheetView>
  </sheetViews>
  <sheetFormatPr defaultColWidth="6.375" defaultRowHeight="12.75"/>
  <cols>
    <col min="1" max="1" width="6.125" style="78" customWidth="1"/>
    <col min="2" max="2" width="75.5" style="78" customWidth="1"/>
    <col min="3" max="3" width="2.5" style="78" customWidth="1"/>
    <col min="4" max="16384" width="6.375" style="78"/>
  </cols>
  <sheetData>
    <row r="1" spans="1:3" ht="42" customHeight="1">
      <c r="A1" s="85"/>
      <c r="B1" s="85"/>
      <c r="C1" s="86"/>
    </row>
    <row r="2" spans="1:3" ht="5.0999999999999996" customHeight="1">
      <c r="A2" s="79"/>
      <c r="B2" s="80"/>
      <c r="C2" s="1"/>
    </row>
    <row r="3" spans="1:3" s="82" customFormat="1" ht="34.5">
      <c r="A3" s="81"/>
      <c r="B3" s="2" t="s">
        <v>0</v>
      </c>
      <c r="C3" s="3"/>
    </row>
    <row r="4" spans="1:3" ht="16.5">
      <c r="A4" s="81"/>
      <c r="B4" s="4" t="s">
        <v>1</v>
      </c>
      <c r="C4" s="1"/>
    </row>
    <row r="5" spans="1:3" ht="15.75" customHeight="1">
      <c r="A5" s="81"/>
      <c r="B5" s="81"/>
      <c r="C5" s="1"/>
    </row>
    <row r="6" spans="1:3" ht="13.5">
      <c r="A6" s="83" t="s">
        <v>2</v>
      </c>
      <c r="B6" s="5" t="s">
        <v>3</v>
      </c>
      <c r="C6" s="1"/>
    </row>
    <row r="7" spans="1:3" ht="13.5">
      <c r="A7" s="81"/>
      <c r="B7" s="81"/>
      <c r="C7" s="1"/>
    </row>
    <row r="8" spans="1:3">
      <c r="A8" s="87" t="s">
        <v>4</v>
      </c>
      <c r="B8" s="87"/>
      <c r="C8" s="88"/>
    </row>
    <row r="9" spans="1:3">
      <c r="A9" s="87"/>
      <c r="B9" s="87"/>
      <c r="C9" s="88"/>
    </row>
    <row r="10" spans="1:3" ht="13.5" thickBot="1">
      <c r="A10" s="89"/>
      <c r="B10" s="89"/>
      <c r="C10" s="90"/>
    </row>
    <row r="11" spans="1:3" ht="13.5" thickTop="1"/>
  </sheetData>
  <mergeCells count="2">
    <mergeCell ref="A1:C1"/>
    <mergeCell ref="A8:C10"/>
  </mergeCells>
  <dataValidations count="2">
    <dataValidation allowBlank="1" showInputMessage="1" showErrorMessage="1" error="                                                                " sqref="J3" xr:uid="{2F941685-DB1C-4E0F-A8D9-D4C2E6586BF2}"/>
    <dataValidation allowBlank="1" error="pavI8MeUFtEyxX2I4tky89936d95-2f14-476f-a137-a8155052c265" sqref="A1:C2 A3:C3 A4:C11" xr:uid="{00000000-0002-0000-0000-000001000000}"/>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M31"/>
  <sheetViews>
    <sheetView topLeftCell="A2" workbookViewId="0">
      <selection activeCell="A23" sqref="A23:M23"/>
    </sheetView>
  </sheetViews>
  <sheetFormatPr defaultColWidth="8.875" defaultRowHeight="14.25"/>
  <cols>
    <col min="1" max="1" width="9.125" style="6" customWidth="1"/>
    <col min="2" max="7" width="8.875" style="6"/>
    <col min="8" max="8" width="10.375" style="6" bestFit="1" customWidth="1"/>
    <col min="9" max="9" width="19.125" style="6" customWidth="1"/>
    <col min="10" max="10" width="13.125" style="6" customWidth="1"/>
    <col min="11" max="11" width="10" style="6" bestFit="1" customWidth="1"/>
    <col min="12" max="12" width="10.5" style="6" bestFit="1" customWidth="1"/>
    <col min="13" max="13" width="15.5" style="6" bestFit="1" customWidth="1"/>
    <col min="14" max="16384" width="8.875" style="6"/>
  </cols>
  <sheetData>
    <row r="2" spans="2:10" ht="48.75" customHeight="1">
      <c r="B2" s="91"/>
      <c r="C2" s="91"/>
      <c r="D2" s="91"/>
      <c r="E2" s="91"/>
      <c r="F2" s="91"/>
      <c r="G2" s="91"/>
      <c r="H2" s="91"/>
      <c r="I2" s="91"/>
      <c r="J2" s="91"/>
    </row>
    <row r="3" spans="2:10" ht="30.75" customHeight="1">
      <c r="B3" s="92"/>
      <c r="C3" s="92"/>
      <c r="D3" s="92"/>
      <c r="E3" s="92"/>
      <c r="F3" s="92"/>
      <c r="G3" s="92"/>
      <c r="H3" s="92"/>
      <c r="I3" s="92"/>
      <c r="J3" s="92"/>
    </row>
    <row r="4" spans="2:10" ht="15">
      <c r="B4" s="96" t="s">
        <v>5</v>
      </c>
      <c r="C4" s="96"/>
      <c r="D4" s="94" t="s">
        <v>152</v>
      </c>
      <c r="E4" s="94"/>
      <c r="F4" s="8"/>
      <c r="G4" s="17"/>
      <c r="H4" s="8"/>
      <c r="I4" s="17"/>
      <c r="J4" s="8"/>
    </row>
    <row r="5" spans="2:10" ht="15.75">
      <c r="B5" s="96" t="s">
        <v>6</v>
      </c>
      <c r="C5" s="96"/>
      <c r="D5" s="94" t="s">
        <v>153</v>
      </c>
      <c r="E5" s="94"/>
      <c r="F5" s="8"/>
      <c r="G5" s="17"/>
      <c r="H5" s="8"/>
      <c r="I5" s="17"/>
      <c r="J5" s="70" t="s">
        <v>146</v>
      </c>
    </row>
    <row r="6" spans="2:10" ht="15">
      <c r="B6" s="96" t="s">
        <v>8</v>
      </c>
      <c r="C6" s="96"/>
      <c r="D6" s="94" t="s">
        <v>154</v>
      </c>
      <c r="E6" s="94"/>
      <c r="F6" s="8"/>
      <c r="G6" s="17"/>
      <c r="H6" s="8"/>
      <c r="I6" s="17"/>
      <c r="J6" s="84" t="s">
        <v>147</v>
      </c>
    </row>
    <row r="7" spans="2:10" ht="15">
      <c r="B7" s="96" t="s">
        <v>7</v>
      </c>
      <c r="C7" s="96"/>
      <c r="D7" s="94" t="s">
        <v>138</v>
      </c>
      <c r="E7" s="94"/>
      <c r="F7" s="10" t="s">
        <v>10</v>
      </c>
      <c r="G7" s="17" t="s">
        <v>156</v>
      </c>
      <c r="H7" s="8" t="s">
        <v>12</v>
      </c>
      <c r="I7" s="19">
        <v>60612</v>
      </c>
      <c r="J7" s="84" t="s">
        <v>148</v>
      </c>
    </row>
    <row r="8" spans="2:10" ht="15">
      <c r="B8" s="93" t="s">
        <v>9</v>
      </c>
      <c r="C8" s="93"/>
      <c r="D8" s="95" t="s">
        <v>155</v>
      </c>
      <c r="E8" s="95"/>
      <c r="F8" s="11" t="s">
        <v>11</v>
      </c>
      <c r="G8" s="18" t="s">
        <v>157</v>
      </c>
      <c r="H8" s="9"/>
      <c r="I8" s="18"/>
      <c r="J8" s="9"/>
    </row>
    <row r="9" spans="2:10">
      <c r="B9" s="7"/>
      <c r="C9" s="7"/>
      <c r="D9" s="7"/>
      <c r="E9" s="7"/>
      <c r="F9" s="7"/>
      <c r="G9" s="7"/>
      <c r="H9" s="7"/>
      <c r="I9" s="8"/>
      <c r="J9" s="8"/>
    </row>
    <row r="10" spans="2:10" ht="19.5" customHeight="1">
      <c r="B10" s="8"/>
      <c r="C10" s="8" t="s">
        <v>17</v>
      </c>
      <c r="D10" s="8"/>
      <c r="E10" s="8"/>
      <c r="F10" s="8"/>
      <c r="G10" s="8"/>
      <c r="H10" s="8"/>
      <c r="I10" s="8"/>
      <c r="J10" s="8"/>
    </row>
    <row r="11" spans="2:10">
      <c r="B11" s="8"/>
      <c r="C11" s="8"/>
      <c r="D11" s="8"/>
      <c r="E11" s="8"/>
      <c r="F11" s="8"/>
      <c r="G11" s="8"/>
      <c r="H11" s="8"/>
      <c r="I11" s="8"/>
      <c r="J11" s="8"/>
    </row>
    <row r="12" spans="2:10">
      <c r="B12" s="8"/>
      <c r="C12" s="8"/>
      <c r="D12" s="8"/>
      <c r="E12" s="8"/>
      <c r="F12" s="8"/>
      <c r="G12" s="8"/>
      <c r="H12" s="8"/>
      <c r="I12" s="8"/>
      <c r="J12" s="8"/>
    </row>
    <row r="13" spans="2:10">
      <c r="B13" s="8"/>
      <c r="C13" s="8"/>
      <c r="D13" s="8"/>
      <c r="E13" s="8"/>
      <c r="F13" s="8"/>
      <c r="G13" s="8"/>
      <c r="H13" s="8"/>
      <c r="I13" s="8"/>
      <c r="J13" s="8"/>
    </row>
    <row r="14" spans="2:10" ht="19.5" customHeight="1">
      <c r="B14" s="8"/>
      <c r="C14" s="8" t="s">
        <v>26</v>
      </c>
      <c r="D14" s="8"/>
      <c r="E14" s="8"/>
      <c r="F14" s="8"/>
      <c r="G14" s="8"/>
      <c r="H14" s="8"/>
      <c r="I14" s="8"/>
      <c r="J14" s="8"/>
    </row>
    <row r="15" spans="2:10">
      <c r="B15" s="8"/>
      <c r="C15" s="8"/>
      <c r="D15" s="8"/>
      <c r="E15" s="8"/>
      <c r="F15" s="8"/>
      <c r="G15" s="8"/>
      <c r="H15" s="8"/>
      <c r="I15" s="8"/>
      <c r="J15" s="8"/>
    </row>
    <row r="16" spans="2:10">
      <c r="B16" s="8"/>
      <c r="C16" s="8"/>
      <c r="D16" s="8"/>
      <c r="E16" s="8"/>
      <c r="F16" s="8"/>
      <c r="G16" s="8"/>
      <c r="H16" s="8"/>
      <c r="I16" s="8"/>
      <c r="J16" s="8"/>
    </row>
    <row r="17" spans="1:13">
      <c r="B17" s="8"/>
      <c r="C17" s="8"/>
      <c r="D17" s="8"/>
      <c r="E17" s="8"/>
      <c r="F17" s="8"/>
      <c r="G17" s="8"/>
      <c r="H17" s="8"/>
      <c r="I17" s="8"/>
      <c r="J17" s="8"/>
    </row>
    <row r="18" spans="1:13">
      <c r="B18" s="9"/>
      <c r="C18" s="9"/>
      <c r="D18" s="9"/>
      <c r="E18" s="9"/>
      <c r="F18" s="9"/>
      <c r="G18" s="9"/>
      <c r="H18" s="9"/>
      <c r="I18" s="9"/>
      <c r="J18" s="9"/>
    </row>
    <row r="22" spans="1:13" ht="15">
      <c r="A22" s="12" t="s">
        <v>6</v>
      </c>
      <c r="B22" s="12" t="s">
        <v>5</v>
      </c>
      <c r="C22" s="12" t="s">
        <v>8</v>
      </c>
      <c r="D22" s="12" t="s">
        <v>7</v>
      </c>
      <c r="E22" s="12" t="s">
        <v>10</v>
      </c>
      <c r="F22" s="12" t="s">
        <v>12</v>
      </c>
      <c r="G22" s="12" t="s">
        <v>9</v>
      </c>
      <c r="H22" s="12" t="s">
        <v>11</v>
      </c>
      <c r="I22" s="14" t="s">
        <v>24</v>
      </c>
      <c r="J22" s="12" t="s">
        <v>21</v>
      </c>
      <c r="K22" s="12" t="s">
        <v>20</v>
      </c>
      <c r="L22" s="12" t="s">
        <v>22</v>
      </c>
      <c r="M22" s="12" t="s">
        <v>23</v>
      </c>
    </row>
    <row r="23" spans="1:13" ht="15">
      <c r="A23" s="13" t="str">
        <f>First_Name</f>
        <v>Yoshi</v>
      </c>
      <c r="B23" s="13" t="str">
        <f>Last_Name</f>
        <v>Tamiko</v>
      </c>
      <c r="C23" s="13" t="str">
        <f>Address</f>
        <v>3250 N. Lincoln Dr.</v>
      </c>
      <c r="D23" s="13" t="str">
        <f>City</f>
        <v>Chicago</v>
      </c>
      <c r="E23" s="13" t="str">
        <f>State</f>
        <v>IL</v>
      </c>
      <c r="F23" s="13">
        <f>Postal_Code</f>
        <v>60612</v>
      </c>
      <c r="G23" s="13" t="str">
        <f>Phone</f>
        <v>(312) 555-2873</v>
      </c>
      <c r="H23" s="13" t="str">
        <f>Email</f>
        <v>t.yoshi@example.net</v>
      </c>
      <c r="I23" s="12" t="str">
        <f>INDEX(Sources,I24)</f>
        <v>Social media</v>
      </c>
      <c r="J23" s="12" t="b">
        <v>1</v>
      </c>
      <c r="K23" s="12"/>
      <c r="L23" s="12" t="b">
        <v>0</v>
      </c>
      <c r="M23" s="12"/>
    </row>
    <row r="24" spans="1:13" ht="15">
      <c r="A24" s="75"/>
      <c r="B24" s="75"/>
      <c r="C24" s="75"/>
      <c r="D24" s="75"/>
      <c r="E24" s="75"/>
      <c r="F24" s="75"/>
      <c r="G24" s="75"/>
      <c r="H24" s="75"/>
      <c r="I24" s="75">
        <v>4</v>
      </c>
      <c r="J24" s="75"/>
      <c r="K24" s="75"/>
      <c r="L24" s="75"/>
      <c r="M24" s="75"/>
    </row>
    <row r="25" spans="1:13" ht="15">
      <c r="A25" s="15" t="s">
        <v>25</v>
      </c>
    </row>
    <row r="26" spans="1:13" ht="15">
      <c r="A26" s="12" t="s">
        <v>16</v>
      </c>
    </row>
    <row r="27" spans="1:13" ht="15">
      <c r="A27" s="12" t="s">
        <v>18</v>
      </c>
    </row>
    <row r="28" spans="1:13" ht="15">
      <c r="A28" s="12" t="s">
        <v>15</v>
      </c>
    </row>
    <row r="29" spans="1:13" ht="15">
      <c r="A29" s="12" t="s">
        <v>13</v>
      </c>
    </row>
    <row r="30" spans="1:13" ht="15">
      <c r="A30" s="12" t="s">
        <v>19</v>
      </c>
    </row>
    <row r="31" spans="1:13" ht="15">
      <c r="A31" s="12" t="s">
        <v>14</v>
      </c>
    </row>
  </sheetData>
  <sortState xmlns:xlrd2="http://schemas.microsoft.com/office/spreadsheetml/2017/richdata2" ref="C11:C16">
    <sortCondition ref="C11"/>
  </sortState>
  <mergeCells count="12">
    <mergeCell ref="B2:J2"/>
    <mergeCell ref="B3:J3"/>
    <mergeCell ref="B8:C8"/>
    <mergeCell ref="D4:E4"/>
    <mergeCell ref="D5:E5"/>
    <mergeCell ref="D6:E6"/>
    <mergeCell ref="D7:E7"/>
    <mergeCell ref="D8:E8"/>
    <mergeCell ref="B7:C7"/>
    <mergeCell ref="B4:C4"/>
    <mergeCell ref="B5:C5"/>
    <mergeCell ref="B6:C6"/>
  </mergeCells>
  <dataValidations count="1">
    <dataValidation allowBlank="1" error="pavI8MeUFtEyxX2I4tky89936d95-2f14-476f-a137-a8155052c265" sqref="A1:M31" xr:uid="{00000000-0002-0000-0100-000000000000}"/>
  </dataValidations>
  <hyperlinks>
    <hyperlink ref="J6" r:id="rId1" xr:uid="{D5E9FA24-6FA8-4F58-8972-3DE13E0468AE}"/>
    <hyperlink ref="J7" r:id="rId2" tooltip="Contact Porter 360" xr:uid="{DFF2FFF0-85AD-4B2E-A912-745D972FA3F8}"/>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Option Button 1">
              <controlPr defaultSize="0" autoFill="0" autoLine="0" autoPict="0">
                <anchor moveWithCells="1">
                  <from>
                    <xdr:col>1</xdr:col>
                    <xdr:colOff>752475</xdr:colOff>
                    <xdr:row>10</xdr:row>
                    <xdr:rowOff>9525</xdr:rowOff>
                  </from>
                  <to>
                    <xdr:col>3</xdr:col>
                    <xdr:colOff>257175</xdr:colOff>
                    <xdr:row>11</xdr:row>
                    <xdr:rowOff>0</xdr:rowOff>
                  </to>
                </anchor>
              </controlPr>
            </control>
          </mc:Choice>
        </mc:AlternateContent>
        <mc:AlternateContent xmlns:mc="http://schemas.openxmlformats.org/markup-compatibility/2006">
          <mc:Choice Requires="x14">
            <control shapeId="1026" r:id="rId7" name="Option Button 2">
              <controlPr defaultSize="0" autoFill="0" autoLine="0" autoPict="0">
                <anchor moveWithCells="1">
                  <from>
                    <xdr:col>1</xdr:col>
                    <xdr:colOff>752475</xdr:colOff>
                    <xdr:row>11</xdr:row>
                    <xdr:rowOff>57150</xdr:rowOff>
                  </from>
                  <to>
                    <xdr:col>3</xdr:col>
                    <xdr:colOff>257175</xdr:colOff>
                    <xdr:row>12</xdr:row>
                    <xdr:rowOff>47625</xdr:rowOff>
                  </to>
                </anchor>
              </controlPr>
            </control>
          </mc:Choice>
        </mc:AlternateContent>
        <mc:AlternateContent xmlns:mc="http://schemas.openxmlformats.org/markup-compatibility/2006">
          <mc:Choice Requires="x14">
            <control shapeId="1027" r:id="rId8" name="Option Button 3">
              <controlPr defaultSize="0" autoFill="0" autoLine="0" autoPict="0">
                <anchor moveWithCells="1">
                  <from>
                    <xdr:col>4</xdr:col>
                    <xdr:colOff>409575</xdr:colOff>
                    <xdr:row>10</xdr:row>
                    <xdr:rowOff>0</xdr:rowOff>
                  </from>
                  <to>
                    <xdr:col>5</xdr:col>
                    <xdr:colOff>676275</xdr:colOff>
                    <xdr:row>10</xdr:row>
                    <xdr:rowOff>209550</xdr:rowOff>
                  </to>
                </anchor>
              </controlPr>
            </control>
          </mc:Choice>
        </mc:AlternateContent>
        <mc:AlternateContent xmlns:mc="http://schemas.openxmlformats.org/markup-compatibility/2006">
          <mc:Choice Requires="x14">
            <control shapeId="1028" r:id="rId9" name="Option Button 4">
              <controlPr defaultSize="0" autoFill="0" autoLine="0" autoPict="0">
                <anchor moveWithCells="1">
                  <from>
                    <xdr:col>4</xdr:col>
                    <xdr:colOff>409575</xdr:colOff>
                    <xdr:row>11</xdr:row>
                    <xdr:rowOff>57150</xdr:rowOff>
                  </from>
                  <to>
                    <xdr:col>5</xdr:col>
                    <xdr:colOff>676275</xdr:colOff>
                    <xdr:row>12</xdr:row>
                    <xdr:rowOff>47625</xdr:rowOff>
                  </to>
                </anchor>
              </controlPr>
            </control>
          </mc:Choice>
        </mc:AlternateContent>
        <mc:AlternateContent xmlns:mc="http://schemas.openxmlformats.org/markup-compatibility/2006">
          <mc:Choice Requires="x14">
            <control shapeId="1029" r:id="rId10" name="Option Button 5">
              <controlPr defaultSize="0" autoFill="0" autoLine="0" autoPict="0">
                <anchor moveWithCells="1">
                  <from>
                    <xdr:col>7</xdr:col>
                    <xdr:colOff>57150</xdr:colOff>
                    <xdr:row>10</xdr:row>
                    <xdr:rowOff>0</xdr:rowOff>
                  </from>
                  <to>
                    <xdr:col>8</xdr:col>
                    <xdr:colOff>200025</xdr:colOff>
                    <xdr:row>11</xdr:row>
                    <xdr:rowOff>0</xdr:rowOff>
                  </to>
                </anchor>
              </controlPr>
            </control>
          </mc:Choice>
        </mc:AlternateContent>
        <mc:AlternateContent xmlns:mc="http://schemas.openxmlformats.org/markup-compatibility/2006">
          <mc:Choice Requires="x14">
            <control shapeId="1030" r:id="rId11" name="Check Box 6">
              <controlPr defaultSize="0" autoFill="0" autoLine="0" autoPict="0">
                <anchor moveWithCells="1">
                  <from>
                    <xdr:col>2</xdr:col>
                    <xdr:colOff>19050</xdr:colOff>
                    <xdr:row>14</xdr:row>
                    <xdr:rowOff>47625</xdr:rowOff>
                  </from>
                  <to>
                    <xdr:col>3</xdr:col>
                    <xdr:colOff>285750</xdr:colOff>
                    <xdr:row>15</xdr:row>
                    <xdr:rowOff>28575</xdr:rowOff>
                  </to>
                </anchor>
              </controlPr>
            </control>
          </mc:Choice>
        </mc:AlternateContent>
        <mc:AlternateContent xmlns:mc="http://schemas.openxmlformats.org/markup-compatibility/2006">
          <mc:Choice Requires="x14">
            <control shapeId="1031" r:id="rId12" name="Check Box 7">
              <controlPr defaultSize="0" autoFill="0" autoLine="0" autoPict="0">
                <anchor moveWithCells="1">
                  <from>
                    <xdr:col>4</xdr:col>
                    <xdr:colOff>95250</xdr:colOff>
                    <xdr:row>14</xdr:row>
                    <xdr:rowOff>47625</xdr:rowOff>
                  </from>
                  <to>
                    <xdr:col>5</xdr:col>
                    <xdr:colOff>304800</xdr:colOff>
                    <xdr:row>15</xdr:row>
                    <xdr:rowOff>57150</xdr:rowOff>
                  </to>
                </anchor>
              </controlPr>
            </control>
          </mc:Choice>
        </mc:AlternateContent>
        <mc:AlternateContent xmlns:mc="http://schemas.openxmlformats.org/markup-compatibility/2006">
          <mc:Choice Requires="x14">
            <control shapeId="1032" r:id="rId13" name="Check Box 8">
              <controlPr defaultSize="0" autoFill="0" autoLine="0" autoPict="0">
                <anchor moveWithCells="1">
                  <from>
                    <xdr:col>8</xdr:col>
                    <xdr:colOff>38100</xdr:colOff>
                    <xdr:row>14</xdr:row>
                    <xdr:rowOff>47625</xdr:rowOff>
                  </from>
                  <to>
                    <xdr:col>9</xdr:col>
                    <xdr:colOff>0</xdr:colOff>
                    <xdr:row>15</xdr:row>
                    <xdr:rowOff>47625</xdr:rowOff>
                  </to>
                </anchor>
              </controlPr>
            </control>
          </mc:Choice>
        </mc:AlternateContent>
        <mc:AlternateContent xmlns:mc="http://schemas.openxmlformats.org/markup-compatibility/2006">
          <mc:Choice Requires="x14">
            <control shapeId="1033" r:id="rId14" name="Button 9">
              <controlPr defaultSize="0" print="0" autoFill="0" autoPict="0" macro="[0]!SaveData">
                <anchor moveWithCells="1">
                  <from>
                    <xdr:col>3</xdr:col>
                    <xdr:colOff>504825</xdr:colOff>
                    <xdr:row>16</xdr:row>
                    <xdr:rowOff>0</xdr:rowOff>
                  </from>
                  <to>
                    <xdr:col>5</xdr:col>
                    <xdr:colOff>66675</xdr:colOff>
                    <xdr:row>17</xdr:row>
                    <xdr:rowOff>95250</xdr:rowOff>
                  </to>
                </anchor>
              </controlPr>
            </control>
          </mc:Choice>
        </mc:AlternateContent>
        <mc:AlternateContent xmlns:mc="http://schemas.openxmlformats.org/markup-compatibility/2006">
          <mc:Choice Requires="x14">
            <control shapeId="1034" r:id="rId15" name="Option Button 10">
              <controlPr defaultSize="0" autoFill="0" autoLine="0" autoPict="0">
                <anchor moveWithCells="1">
                  <from>
                    <xdr:col>7</xdr:col>
                    <xdr:colOff>57150</xdr:colOff>
                    <xdr:row>10</xdr:row>
                    <xdr:rowOff>171450</xdr:rowOff>
                  </from>
                  <to>
                    <xdr:col>8</xdr:col>
                    <xdr:colOff>104775</xdr:colOff>
                    <xdr:row>12</xdr:row>
                    <xdr:rowOff>28575</xdr:rowOff>
                  </to>
                </anchor>
              </controlPr>
            </control>
          </mc:Choice>
        </mc:AlternateContent>
        <mc:AlternateContent xmlns:mc="http://schemas.openxmlformats.org/markup-compatibility/2006">
          <mc:Choice Requires="x14">
            <control shapeId="1035" r:id="rId16" name="Check Box 11">
              <controlPr defaultSize="0" autoFill="0" autoLine="0" autoPict="0">
                <anchor moveWithCells="1">
                  <from>
                    <xdr:col>6</xdr:col>
                    <xdr:colOff>57150</xdr:colOff>
                    <xdr:row>14</xdr:row>
                    <xdr:rowOff>47625</xdr:rowOff>
                  </from>
                  <to>
                    <xdr:col>7</xdr:col>
                    <xdr:colOff>419100</xdr:colOff>
                    <xdr:row>15</xdr:row>
                    <xdr:rowOff>57150</xdr:rowOff>
                  </to>
                </anchor>
              </controlPr>
            </control>
          </mc:Choice>
        </mc:AlternateContent>
        <mc:AlternateContent xmlns:mc="http://schemas.openxmlformats.org/markup-compatibility/2006">
          <mc:Choice Requires="x14">
            <control shapeId="1036" r:id="rId17" name="Button 12">
              <controlPr defaultSize="0" print="0" autoFill="0" autoPict="0" macro="[0]!Module1.ClearData">
                <anchor moveWithCells="1" sizeWithCells="1">
                  <from>
                    <xdr:col>6</xdr:col>
                    <xdr:colOff>9525</xdr:colOff>
                    <xdr:row>16</xdr:row>
                    <xdr:rowOff>0</xdr:rowOff>
                  </from>
                  <to>
                    <xdr:col>7</xdr:col>
                    <xdr:colOff>247650</xdr:colOff>
                    <xdr:row>17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16"/>
  <sheetViews>
    <sheetView showGridLines="0" topLeftCell="C1" workbookViewId="0">
      <selection activeCell="O18" sqref="O18"/>
    </sheetView>
  </sheetViews>
  <sheetFormatPr defaultRowHeight="14.25"/>
  <cols>
    <col min="1" max="1" width="14" bestFit="1" customWidth="1"/>
    <col min="2" max="2" width="17.875" bestFit="1" customWidth="1"/>
    <col min="3" max="3" width="16.375" bestFit="1" customWidth="1"/>
    <col min="4" max="4" width="13.125" bestFit="1" customWidth="1"/>
    <col min="5" max="6" width="15.5" bestFit="1" customWidth="1"/>
    <col min="7" max="7" width="15.5" customWidth="1"/>
    <col min="8" max="8" width="2.875" customWidth="1"/>
    <col min="9" max="9" width="10.125" bestFit="1" customWidth="1"/>
    <col min="10" max="10" width="17.375" bestFit="1" customWidth="1"/>
    <col min="11" max="11" width="9.125" bestFit="1" customWidth="1"/>
    <col min="12" max="12" width="12.625" bestFit="1" customWidth="1"/>
  </cols>
  <sheetData>
    <row r="1" spans="1:12" ht="53.25" customHeight="1">
      <c r="A1" s="98" t="s">
        <v>0</v>
      </c>
      <c r="B1" s="98"/>
      <c r="C1" s="98"/>
      <c r="D1" s="98"/>
      <c r="E1" s="98"/>
      <c r="F1" s="98"/>
      <c r="G1" s="98"/>
    </row>
    <row r="2" spans="1:12" ht="15">
      <c r="A2" s="97" t="s">
        <v>27</v>
      </c>
      <c r="B2" s="97"/>
      <c r="C2" s="97"/>
      <c r="D2" s="97"/>
      <c r="E2" s="97"/>
      <c r="F2" s="97"/>
      <c r="G2" s="24"/>
      <c r="I2" s="97" t="s">
        <v>68</v>
      </c>
      <c r="J2" s="97"/>
      <c r="K2" s="97"/>
    </row>
    <row r="3" spans="1:12">
      <c r="A3" s="21" t="s">
        <v>28</v>
      </c>
      <c r="B3" s="21" t="s">
        <v>34</v>
      </c>
      <c r="C3" s="21" t="s">
        <v>29</v>
      </c>
      <c r="D3" s="21" t="s">
        <v>30</v>
      </c>
      <c r="E3" s="21" t="s">
        <v>31</v>
      </c>
      <c r="F3" s="21" t="s">
        <v>32</v>
      </c>
      <c r="G3" s="21" t="s">
        <v>111</v>
      </c>
      <c r="I3" s="21" t="s">
        <v>54</v>
      </c>
      <c r="J3" s="21" t="s">
        <v>53</v>
      </c>
      <c r="K3" s="21" t="s">
        <v>55</v>
      </c>
      <c r="L3" s="23"/>
    </row>
    <row r="4" spans="1:12">
      <c r="A4" t="s">
        <v>40</v>
      </c>
      <c r="B4" t="s">
        <v>41</v>
      </c>
      <c r="C4" t="s">
        <v>42</v>
      </c>
      <c r="D4" s="25">
        <v>249</v>
      </c>
      <c r="E4" s="23">
        <v>202935</v>
      </c>
      <c r="F4" s="23">
        <v>200445</v>
      </c>
      <c r="G4" s="23">
        <f>Top_Sellers[[#This Row],[Year 2 Sales]]-Top_Sellers[[#This Row],[Year 1 Sales]]</f>
        <v>-2490</v>
      </c>
      <c r="H4" s="22"/>
      <c r="I4" s="21" t="s">
        <v>56</v>
      </c>
      <c r="J4" s="25">
        <v>3731</v>
      </c>
      <c r="K4" s="23">
        <v>124366</v>
      </c>
      <c r="L4" s="23"/>
    </row>
    <row r="5" spans="1:12">
      <c r="A5" t="s">
        <v>49</v>
      </c>
      <c r="B5" t="s">
        <v>50</v>
      </c>
      <c r="C5" t="s">
        <v>42</v>
      </c>
      <c r="D5" s="25">
        <v>259</v>
      </c>
      <c r="E5" s="23">
        <v>231287</v>
      </c>
      <c r="F5" s="23">
        <v>241129</v>
      </c>
      <c r="G5" s="23">
        <f>Top_Sellers[[#This Row],[Year 2 Sales]]-Top_Sellers[[#This Row],[Year 1 Sales]]</f>
        <v>9842</v>
      </c>
      <c r="H5" s="23"/>
      <c r="I5" s="21" t="s">
        <v>57</v>
      </c>
      <c r="J5" s="25">
        <v>3109</v>
      </c>
      <c r="K5" s="23">
        <v>112365</v>
      </c>
      <c r="L5" s="23"/>
    </row>
    <row r="6" spans="1:12">
      <c r="A6" t="s">
        <v>45</v>
      </c>
      <c r="B6" t="s">
        <v>46</v>
      </c>
      <c r="C6" t="s">
        <v>150</v>
      </c>
      <c r="D6" s="25">
        <v>179</v>
      </c>
      <c r="E6" s="23">
        <v>210504</v>
      </c>
      <c r="F6" s="23">
        <v>217843</v>
      </c>
      <c r="G6" s="23">
        <f>Top_Sellers[[#This Row],[Year 2 Sales]]-Top_Sellers[[#This Row],[Year 1 Sales]]</f>
        <v>7339</v>
      </c>
      <c r="H6" s="23"/>
      <c r="I6" s="21" t="s">
        <v>58</v>
      </c>
      <c r="J6" s="25">
        <v>4225</v>
      </c>
      <c r="K6" s="23">
        <v>140879</v>
      </c>
      <c r="L6" s="23"/>
    </row>
    <row r="7" spans="1:12">
      <c r="A7" t="s">
        <v>47</v>
      </c>
      <c r="B7" t="s">
        <v>48</v>
      </c>
      <c r="C7" t="s">
        <v>150</v>
      </c>
      <c r="D7" s="25">
        <v>219</v>
      </c>
      <c r="E7" s="23">
        <v>157023</v>
      </c>
      <c r="F7" s="23">
        <v>152424</v>
      </c>
      <c r="G7" s="23">
        <f>Top_Sellers[[#This Row],[Year 2 Sales]]-Top_Sellers[[#This Row],[Year 1 Sales]]</f>
        <v>-4599</v>
      </c>
      <c r="H7" s="23"/>
      <c r="I7" s="21" t="s">
        <v>59</v>
      </c>
      <c r="J7" s="25">
        <v>4220</v>
      </c>
      <c r="K7" s="23">
        <v>139658</v>
      </c>
      <c r="L7" s="23"/>
    </row>
    <row r="8" spans="1:12">
      <c r="A8" t="s">
        <v>33</v>
      </c>
      <c r="B8" t="s">
        <v>35</v>
      </c>
      <c r="C8" t="s">
        <v>36</v>
      </c>
      <c r="D8" s="25">
        <v>199</v>
      </c>
      <c r="E8" s="23">
        <v>232432</v>
      </c>
      <c r="F8" s="23">
        <v>296112</v>
      </c>
      <c r="G8" s="23">
        <f>Top_Sellers[[#This Row],[Year 2 Sales]]-Top_Sellers[[#This Row],[Year 1 Sales]]</f>
        <v>63680</v>
      </c>
      <c r="H8" s="23"/>
      <c r="I8" s="21" t="s">
        <v>60</v>
      </c>
      <c r="J8" s="25">
        <v>4570</v>
      </c>
      <c r="K8" s="23">
        <v>151269</v>
      </c>
      <c r="L8" s="23"/>
    </row>
    <row r="9" spans="1:12">
      <c r="A9" t="s">
        <v>43</v>
      </c>
      <c r="B9" t="s">
        <v>44</v>
      </c>
      <c r="C9" t="s">
        <v>36</v>
      </c>
      <c r="D9" s="25">
        <v>209</v>
      </c>
      <c r="E9" s="23">
        <v>168245</v>
      </c>
      <c r="F9" s="23">
        <v>192184</v>
      </c>
      <c r="G9" s="23">
        <f>Top_Sellers[[#This Row],[Year 2 Sales]]-Top_Sellers[[#This Row],[Year 1 Sales]]</f>
        <v>23939</v>
      </c>
      <c r="H9" s="23"/>
      <c r="I9" s="21" t="s">
        <v>61</v>
      </c>
      <c r="J9" s="25">
        <v>4305</v>
      </c>
      <c r="K9" s="23">
        <v>141803</v>
      </c>
      <c r="L9" s="23"/>
    </row>
    <row r="10" spans="1:12">
      <c r="A10" t="s">
        <v>37</v>
      </c>
      <c r="B10" t="s">
        <v>39</v>
      </c>
      <c r="C10" t="s">
        <v>38</v>
      </c>
      <c r="D10" s="25">
        <v>229</v>
      </c>
      <c r="E10" s="23">
        <v>215718</v>
      </c>
      <c r="F10" s="23">
        <v>219916</v>
      </c>
      <c r="G10" s="23">
        <f>Top_Sellers[[#This Row],[Year 2 Sales]]-Top_Sellers[[#This Row],[Year 1 Sales]]</f>
        <v>4198</v>
      </c>
      <c r="H10" s="23"/>
      <c r="I10" s="21" t="s">
        <v>62</v>
      </c>
      <c r="J10" s="25">
        <v>4275</v>
      </c>
      <c r="K10" s="23">
        <v>142502</v>
      </c>
      <c r="L10" s="23"/>
    </row>
    <row r="11" spans="1:12">
      <c r="A11" t="s">
        <v>51</v>
      </c>
      <c r="B11" t="s">
        <v>52</v>
      </c>
      <c r="C11" t="s">
        <v>38</v>
      </c>
      <c r="D11" s="25">
        <v>249</v>
      </c>
      <c r="E11" s="77">
        <v>191481</v>
      </c>
      <c r="F11" s="77">
        <v>201139</v>
      </c>
      <c r="G11" s="77">
        <f>Top_Sellers[[#This Row],[Year 2 Sales]]-Top_Sellers[[#This Row],[Year 1 Sales]]</f>
        <v>9658</v>
      </c>
      <c r="H11" s="23"/>
      <c r="I11" s="21" t="s">
        <v>63</v>
      </c>
      <c r="J11" s="25">
        <v>3445</v>
      </c>
      <c r="K11" s="23">
        <v>120677</v>
      </c>
      <c r="L11" s="23"/>
    </row>
    <row r="12" spans="1:12" ht="15.75" thickBot="1">
      <c r="A12" s="36"/>
      <c r="B12" s="36"/>
      <c r="C12" s="37" t="s">
        <v>110</v>
      </c>
      <c r="D12" s="38">
        <f>AVERAGE(D4:D11)</f>
        <v>224</v>
      </c>
      <c r="E12" s="76">
        <f>AVERAGE(E4:E11)</f>
        <v>201203.125</v>
      </c>
      <c r="F12" s="76">
        <f>AVERAGE(F4:F11)</f>
        <v>215149</v>
      </c>
      <c r="G12" s="76">
        <f>Top_Sellers[[#This Row],[Year 2 Sales]]-Top_Sellers[[#This Row],[Year 1 Sales]]</f>
        <v>13945.875</v>
      </c>
      <c r="I12" s="21" t="s">
        <v>64</v>
      </c>
      <c r="J12" s="25">
        <v>4520</v>
      </c>
      <c r="K12" s="23">
        <v>155623</v>
      </c>
      <c r="L12" s="23"/>
    </row>
    <row r="13" spans="1:12" ht="16.5" thickTop="1" thickBot="1">
      <c r="A13" s="39"/>
      <c r="B13" s="39"/>
      <c r="C13" s="40" t="s">
        <v>109</v>
      </c>
      <c r="D13" s="41"/>
      <c r="E13" s="42">
        <f>SUM(E4:E11)</f>
        <v>1609625</v>
      </c>
      <c r="F13" s="42">
        <f>SUM(F4:F11)</f>
        <v>1721192</v>
      </c>
      <c r="G13" s="42">
        <f>Top_Sellers[[#This Row],[Year 2 Sales]]-Top_Sellers[[#This Row],[Year 1 Sales]]</f>
        <v>111567</v>
      </c>
      <c r="I13" s="21" t="s">
        <v>65</v>
      </c>
      <c r="J13" s="25">
        <v>4725</v>
      </c>
      <c r="K13" s="23">
        <v>158322</v>
      </c>
      <c r="L13" s="23"/>
    </row>
    <row r="14" spans="1:12" ht="15" thickTop="1">
      <c r="D14" s="23"/>
      <c r="E14" s="23"/>
      <c r="F14" s="23"/>
      <c r="G14" s="23"/>
      <c r="I14" s="21" t="s">
        <v>66</v>
      </c>
      <c r="J14" s="25">
        <v>4850</v>
      </c>
      <c r="K14" s="23">
        <v>159422</v>
      </c>
      <c r="L14" s="23"/>
    </row>
    <row r="15" spans="1:12">
      <c r="D15" s="23"/>
      <c r="I15" s="21" t="s">
        <v>67</v>
      </c>
      <c r="J15" s="25">
        <v>4850</v>
      </c>
      <c r="K15" s="23">
        <v>155106</v>
      </c>
      <c r="L15" s="23"/>
    </row>
    <row r="16" spans="1:12">
      <c r="K16" s="23"/>
      <c r="L16" s="23"/>
    </row>
  </sheetData>
  <sortState xmlns:xlrd2="http://schemas.microsoft.com/office/spreadsheetml/2017/richdata2" ref="A4:F10">
    <sortCondition ref="A4"/>
  </sortState>
  <mergeCells count="3">
    <mergeCell ref="A2:F2"/>
    <mergeCell ref="I2:K2"/>
    <mergeCell ref="A1:G1"/>
  </mergeCells>
  <dataValidations count="1">
    <dataValidation allowBlank="1" error="pavI8MeUFtEyxX2I4tky89936d95-2f14-476f-a137-a8155052c265" sqref="A1:L16" xr:uid="{00000000-0002-0000-0200-000000000000}"/>
  </dataValidations>
  <pageMargins left="0.7" right="0.7" top="0.75" bottom="0.75" header="0.3" footer="0.3"/>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005A1-482B-4839-B7B0-480C705E7FE0}">
  <dimension ref="A3:C9"/>
  <sheetViews>
    <sheetView workbookViewId="0">
      <selection activeCell="I27" sqref="I27"/>
    </sheetView>
  </sheetViews>
  <sheetFormatPr defaultRowHeight="14.25"/>
  <cols>
    <col min="1" max="1" width="13.125" bestFit="1" customWidth="1"/>
    <col min="2" max="2" width="15.125" bestFit="1" customWidth="1"/>
    <col min="3" max="3" width="19.75" bestFit="1" customWidth="1"/>
  </cols>
  <sheetData>
    <row r="3" spans="1:3">
      <c r="A3" s="104" t="s">
        <v>158</v>
      </c>
      <c r="B3" t="s">
        <v>161</v>
      </c>
      <c r="C3" t="s">
        <v>162</v>
      </c>
    </row>
    <row r="4" spans="1:3">
      <c r="A4" s="105" t="s">
        <v>73</v>
      </c>
      <c r="B4" s="22">
        <v>1543</v>
      </c>
      <c r="C4" s="22">
        <v>220.42857142857142</v>
      </c>
    </row>
    <row r="5" spans="1:3">
      <c r="A5" s="105" t="s">
        <v>76</v>
      </c>
      <c r="B5" s="22">
        <v>1204</v>
      </c>
      <c r="C5" s="22">
        <v>200.66666666666666</v>
      </c>
    </row>
    <row r="6" spans="1:3">
      <c r="A6" s="105" t="s">
        <v>72</v>
      </c>
      <c r="B6" s="22">
        <v>1274</v>
      </c>
      <c r="C6" s="22">
        <v>212.33333333333334</v>
      </c>
    </row>
    <row r="7" spans="1:3">
      <c r="A7" s="105" t="s">
        <v>74</v>
      </c>
      <c r="B7" s="22">
        <v>946</v>
      </c>
      <c r="C7" s="22">
        <v>236.5</v>
      </c>
    </row>
    <row r="8" spans="1:3">
      <c r="A8" s="105" t="s">
        <v>75</v>
      </c>
      <c r="B8" s="22">
        <v>816</v>
      </c>
      <c r="C8" s="22">
        <v>204</v>
      </c>
    </row>
    <row r="9" spans="1:3">
      <c r="A9" s="105" t="s">
        <v>159</v>
      </c>
      <c r="B9" s="22">
        <v>5783</v>
      </c>
      <c r="C9" s="22">
        <v>214.18518518518519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38097-FE7A-4680-ACF2-C697208883B3}">
  <dimension ref="A3:G22"/>
  <sheetViews>
    <sheetView tabSelected="1" workbookViewId="0">
      <selection activeCell="A3" sqref="A3"/>
    </sheetView>
  </sheetViews>
  <sheetFormatPr defaultRowHeight="14.25"/>
  <cols>
    <col min="1" max="1" width="17.125" bestFit="1" customWidth="1"/>
    <col min="2" max="2" width="16.125" bestFit="1" customWidth="1"/>
    <col min="3" max="4" width="10.875" bestFit="1" customWidth="1"/>
    <col min="5" max="5" width="9.875" bestFit="1" customWidth="1"/>
    <col min="6" max="6" width="10.875" bestFit="1" customWidth="1"/>
    <col min="7" max="7" width="11.375" bestFit="1" customWidth="1"/>
  </cols>
  <sheetData>
    <row r="3" spans="1:7">
      <c r="A3" s="104" t="s">
        <v>185</v>
      </c>
      <c r="B3" s="104" t="s">
        <v>160</v>
      </c>
    </row>
    <row r="4" spans="1:7">
      <c r="A4" s="104" t="s">
        <v>158</v>
      </c>
      <c r="B4" t="s">
        <v>73</v>
      </c>
      <c r="C4" t="s">
        <v>76</v>
      </c>
      <c r="D4" t="s">
        <v>72</v>
      </c>
      <c r="E4" t="s">
        <v>74</v>
      </c>
      <c r="F4" t="s">
        <v>75</v>
      </c>
      <c r="G4" t="s">
        <v>159</v>
      </c>
    </row>
    <row r="5" spans="1:7">
      <c r="A5" s="105" t="s">
        <v>168</v>
      </c>
      <c r="B5" s="106"/>
      <c r="C5" s="106"/>
      <c r="D5" s="106"/>
      <c r="E5" s="106"/>
      <c r="F5" s="106">
        <v>31808</v>
      </c>
      <c r="G5" s="106">
        <v>31808</v>
      </c>
    </row>
    <row r="6" spans="1:7">
      <c r="A6" s="105" t="s">
        <v>169</v>
      </c>
      <c r="B6" s="106"/>
      <c r="C6" s="106"/>
      <c r="D6" s="106">
        <v>36960</v>
      </c>
      <c r="E6" s="106"/>
      <c r="F6" s="106"/>
      <c r="G6" s="106">
        <v>36960</v>
      </c>
    </row>
    <row r="7" spans="1:7">
      <c r="A7" s="105" t="s">
        <v>170</v>
      </c>
      <c r="B7" s="106"/>
      <c r="C7" s="106">
        <v>33600</v>
      </c>
      <c r="D7" s="106"/>
      <c r="E7" s="106"/>
      <c r="F7" s="106"/>
      <c r="G7" s="106">
        <v>33600</v>
      </c>
    </row>
    <row r="8" spans="1:7">
      <c r="A8" s="105" t="s">
        <v>171</v>
      </c>
      <c r="B8" s="106"/>
      <c r="C8" s="106"/>
      <c r="D8" s="106"/>
      <c r="E8" s="106">
        <v>34048</v>
      </c>
      <c r="F8" s="106"/>
      <c r="G8" s="106">
        <v>34048</v>
      </c>
    </row>
    <row r="9" spans="1:7">
      <c r="A9" s="105" t="s">
        <v>172</v>
      </c>
      <c r="B9" s="106"/>
      <c r="C9" s="106">
        <v>30912</v>
      </c>
      <c r="D9" s="106"/>
      <c r="E9" s="106"/>
      <c r="F9" s="106"/>
      <c r="G9" s="106">
        <v>30912</v>
      </c>
    </row>
    <row r="10" spans="1:7">
      <c r="A10" s="105" t="s">
        <v>173</v>
      </c>
      <c r="B10" s="106"/>
      <c r="C10" s="106"/>
      <c r="D10" s="106">
        <v>31136</v>
      </c>
      <c r="E10" s="106"/>
      <c r="F10" s="106"/>
      <c r="G10" s="106">
        <v>31136</v>
      </c>
    </row>
    <row r="11" spans="1:7">
      <c r="A11" s="105" t="s">
        <v>174</v>
      </c>
      <c r="B11" s="106">
        <v>32704</v>
      </c>
      <c r="C11" s="106"/>
      <c r="D11" s="106"/>
      <c r="E11" s="106"/>
      <c r="F11" s="106"/>
      <c r="G11" s="106">
        <v>32704</v>
      </c>
    </row>
    <row r="12" spans="1:7">
      <c r="A12" s="105" t="s">
        <v>175</v>
      </c>
      <c r="B12" s="106">
        <v>48160</v>
      </c>
      <c r="C12" s="106"/>
      <c r="D12" s="106"/>
      <c r="E12" s="106"/>
      <c r="F12" s="106"/>
      <c r="G12" s="106">
        <v>48160</v>
      </c>
    </row>
    <row r="13" spans="1:7">
      <c r="A13" s="105" t="s">
        <v>176</v>
      </c>
      <c r="B13" s="106"/>
      <c r="C13" s="106"/>
      <c r="D13" s="106"/>
      <c r="E13" s="106"/>
      <c r="F13" s="106">
        <v>45920</v>
      </c>
      <c r="G13" s="106">
        <v>45920</v>
      </c>
    </row>
    <row r="14" spans="1:7">
      <c r="A14" s="105" t="s">
        <v>177</v>
      </c>
      <c r="B14" s="106">
        <v>32256</v>
      </c>
      <c r="C14" s="106"/>
      <c r="D14" s="106"/>
      <c r="E14" s="106"/>
      <c r="F14" s="106"/>
      <c r="G14" s="106">
        <v>32256</v>
      </c>
    </row>
    <row r="15" spans="1:7">
      <c r="A15" s="105" t="s">
        <v>178</v>
      </c>
      <c r="B15" s="106"/>
      <c r="C15" s="106">
        <v>31360</v>
      </c>
      <c r="D15" s="106"/>
      <c r="E15" s="106"/>
      <c r="F15" s="106"/>
      <c r="G15" s="106">
        <v>31360</v>
      </c>
    </row>
    <row r="16" spans="1:7">
      <c r="A16" s="105" t="s">
        <v>179</v>
      </c>
      <c r="B16" s="106">
        <v>30240</v>
      </c>
      <c r="C16" s="106"/>
      <c r="D16" s="106"/>
      <c r="E16" s="106"/>
      <c r="F16" s="106"/>
      <c r="G16" s="106">
        <v>30240</v>
      </c>
    </row>
    <row r="17" spans="1:7">
      <c r="A17" s="105" t="s">
        <v>180</v>
      </c>
      <c r="B17" s="106"/>
      <c r="C17" s="106">
        <v>32256</v>
      </c>
      <c r="D17" s="106"/>
      <c r="E17" s="106"/>
      <c r="F17" s="106"/>
      <c r="G17" s="106">
        <v>32256</v>
      </c>
    </row>
    <row r="18" spans="1:7">
      <c r="A18" s="105" t="s">
        <v>181</v>
      </c>
      <c r="B18" s="106"/>
      <c r="C18" s="106"/>
      <c r="D18" s="106"/>
      <c r="E18" s="106">
        <v>30240</v>
      </c>
      <c r="F18" s="106"/>
      <c r="G18" s="106">
        <v>30240</v>
      </c>
    </row>
    <row r="19" spans="1:7">
      <c r="A19" s="105" t="s">
        <v>182</v>
      </c>
      <c r="B19" s="106"/>
      <c r="C19" s="106"/>
      <c r="D19" s="106">
        <v>34944</v>
      </c>
      <c r="E19" s="106"/>
      <c r="F19" s="106"/>
      <c r="G19" s="106">
        <v>34944</v>
      </c>
    </row>
    <row r="20" spans="1:7">
      <c r="A20" s="105" t="s">
        <v>183</v>
      </c>
      <c r="B20" s="106"/>
      <c r="C20" s="106"/>
      <c r="D20" s="106"/>
      <c r="E20" s="106"/>
      <c r="F20" s="106">
        <v>32480</v>
      </c>
      <c r="G20" s="106">
        <v>32480</v>
      </c>
    </row>
    <row r="21" spans="1:7">
      <c r="A21" s="105" t="s">
        <v>184</v>
      </c>
      <c r="B21" s="106">
        <v>30912</v>
      </c>
      <c r="C21" s="106"/>
      <c r="D21" s="106"/>
      <c r="E21" s="106"/>
      <c r="F21" s="106"/>
      <c r="G21" s="106">
        <v>30912</v>
      </c>
    </row>
    <row r="22" spans="1:7">
      <c r="A22" s="105" t="s">
        <v>159</v>
      </c>
      <c r="B22" s="106">
        <v>174272</v>
      </c>
      <c r="C22" s="106">
        <v>128128</v>
      </c>
      <c r="D22" s="106">
        <v>103040</v>
      </c>
      <c r="E22" s="106">
        <v>64288</v>
      </c>
      <c r="F22" s="106">
        <v>110208</v>
      </c>
      <c r="G22" s="106">
        <v>579936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1D73B-7571-4681-8934-C8FDCD740F04}">
  <dimension ref="A3:D10"/>
  <sheetViews>
    <sheetView workbookViewId="0">
      <selection activeCell="C26" sqref="C26"/>
    </sheetView>
  </sheetViews>
  <sheetFormatPr defaultRowHeight="14.25"/>
  <cols>
    <col min="1" max="1" width="13.125" bestFit="1" customWidth="1"/>
    <col min="2" max="2" width="6.625" bestFit="1" customWidth="1"/>
    <col min="3" max="3" width="13" bestFit="1" customWidth="1"/>
    <col min="4" max="4" width="14.75" bestFit="1" customWidth="1"/>
  </cols>
  <sheetData>
    <row r="3" spans="1:4">
      <c r="C3" t="s">
        <v>164</v>
      </c>
      <c r="D3" t="s">
        <v>163</v>
      </c>
    </row>
    <row r="4" spans="1:4">
      <c r="A4" t="s">
        <v>150</v>
      </c>
      <c r="B4" t="s">
        <v>45</v>
      </c>
      <c r="C4" s="23">
        <v>358</v>
      </c>
      <c r="D4" s="23">
        <v>393.8</v>
      </c>
    </row>
    <row r="5" spans="1:4">
      <c r="A5" t="s">
        <v>167</v>
      </c>
      <c r="C5" s="23">
        <v>358</v>
      </c>
      <c r="D5" s="23">
        <v>393.8</v>
      </c>
    </row>
    <row r="6" spans="1:4">
      <c r="A6" t="s">
        <v>36</v>
      </c>
      <c r="B6" t="s">
        <v>33</v>
      </c>
      <c r="C6" s="23">
        <v>408</v>
      </c>
      <c r="D6" s="23">
        <v>448.8</v>
      </c>
    </row>
    <row r="7" spans="1:4">
      <c r="A7" t="s">
        <v>166</v>
      </c>
      <c r="C7" s="23">
        <v>408</v>
      </c>
      <c r="D7" s="23">
        <v>448.8</v>
      </c>
    </row>
    <row r="8" spans="1:4">
      <c r="A8" t="s">
        <v>38</v>
      </c>
      <c r="B8" t="s">
        <v>37</v>
      </c>
      <c r="C8" s="23">
        <v>458</v>
      </c>
      <c r="D8" s="23">
        <v>503.8</v>
      </c>
    </row>
    <row r="9" spans="1:4">
      <c r="A9" t="s">
        <v>165</v>
      </c>
      <c r="C9" s="23">
        <v>458</v>
      </c>
      <c r="D9" s="23">
        <v>503.8</v>
      </c>
    </row>
    <row r="10" spans="1:4">
      <c r="A10" t="s">
        <v>159</v>
      </c>
      <c r="C10" s="23">
        <v>1224</v>
      </c>
      <c r="D10" s="23">
        <v>1346.4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30"/>
  <sheetViews>
    <sheetView showGridLines="0" workbookViewId="0">
      <selection activeCell="F9" sqref="F9"/>
    </sheetView>
  </sheetViews>
  <sheetFormatPr defaultRowHeight="14.25"/>
  <cols>
    <col min="1" max="1" width="9.5" bestFit="1" customWidth="1"/>
    <col min="2" max="2" width="9.375" bestFit="1" customWidth="1"/>
    <col min="3" max="3" width="12.125" bestFit="1" customWidth="1"/>
    <col min="4" max="5" width="14.5" bestFit="1" customWidth="1"/>
    <col min="6" max="6" width="10.375" bestFit="1" customWidth="1"/>
    <col min="7" max="7" width="3.375" customWidth="1"/>
    <col min="8" max="8" width="11.5" bestFit="1" customWidth="1"/>
    <col min="9" max="9" width="13.875" bestFit="1" customWidth="1"/>
  </cols>
  <sheetData>
    <row r="1" spans="1:10" ht="53.25" customHeight="1">
      <c r="A1" s="98" t="s">
        <v>0</v>
      </c>
      <c r="B1" s="98"/>
      <c r="C1" s="98"/>
      <c r="D1" s="98"/>
      <c r="E1" s="98"/>
      <c r="F1" s="98"/>
    </row>
    <row r="2" spans="1:10" ht="15">
      <c r="A2" s="97" t="s">
        <v>151</v>
      </c>
      <c r="B2" s="97"/>
      <c r="C2" s="97"/>
      <c r="D2" s="97"/>
      <c r="E2" s="97"/>
      <c r="F2" s="97"/>
    </row>
    <row r="3" spans="1:10" ht="15">
      <c r="A3" t="s">
        <v>82</v>
      </c>
      <c r="B3" t="s">
        <v>69</v>
      </c>
      <c r="C3" t="s">
        <v>28</v>
      </c>
      <c r="D3" t="s">
        <v>29</v>
      </c>
      <c r="E3" t="s">
        <v>70</v>
      </c>
      <c r="F3" t="s">
        <v>71</v>
      </c>
      <c r="H3" s="26" t="s">
        <v>77</v>
      </c>
      <c r="I3" s="27" t="s">
        <v>78</v>
      </c>
    </row>
    <row r="4" spans="1:10">
      <c r="A4">
        <v>2010</v>
      </c>
      <c r="B4" t="s">
        <v>72</v>
      </c>
      <c r="C4" t="s">
        <v>37</v>
      </c>
      <c r="D4" t="str">
        <f>VLOOKUP(C4,$H$4:$I$11,2,FALSE)</f>
        <v>Floodlight</v>
      </c>
      <c r="E4" t="s">
        <v>79</v>
      </c>
      <c r="F4" s="23">
        <v>229</v>
      </c>
      <c r="H4" s="32" t="s">
        <v>40</v>
      </c>
      <c r="I4" s="33" t="s">
        <v>42</v>
      </c>
      <c r="J4" s="23"/>
    </row>
    <row r="5" spans="1:10">
      <c r="A5">
        <v>2012</v>
      </c>
      <c r="B5" t="s">
        <v>74</v>
      </c>
      <c r="C5" t="s">
        <v>33</v>
      </c>
      <c r="D5" t="str">
        <f>VLOOKUP(C5,$H$4:$I$11,2,FALSE)</f>
        <v>Doorbell</v>
      </c>
      <c r="E5" t="s">
        <v>79</v>
      </c>
      <c r="F5" s="23">
        <v>199</v>
      </c>
      <c r="H5" s="34" t="s">
        <v>49</v>
      </c>
      <c r="I5" s="35" t="s">
        <v>42</v>
      </c>
      <c r="J5" s="23"/>
    </row>
    <row r="6" spans="1:10">
      <c r="A6">
        <v>2019</v>
      </c>
      <c r="B6" t="s">
        <v>76</v>
      </c>
      <c r="C6" t="s">
        <v>33</v>
      </c>
      <c r="D6" t="str">
        <f>VLOOKUP(C6,$H$4:$I$11,2,FALSE)</f>
        <v>Doorbell</v>
      </c>
      <c r="E6" t="s">
        <v>81</v>
      </c>
      <c r="F6" s="23">
        <v>199</v>
      </c>
      <c r="H6" s="32" t="s">
        <v>45</v>
      </c>
      <c r="I6" s="33" t="s">
        <v>150</v>
      </c>
      <c r="J6" s="23"/>
    </row>
    <row r="7" spans="1:10">
      <c r="A7">
        <v>2020</v>
      </c>
      <c r="B7" t="s">
        <v>76</v>
      </c>
      <c r="C7" t="s">
        <v>45</v>
      </c>
      <c r="D7" t="str">
        <f>VLOOKUP(C7,$H$4:$I$11,2,FALSE)</f>
        <v>Camera</v>
      </c>
      <c r="E7" t="s">
        <v>80</v>
      </c>
      <c r="F7" s="23">
        <v>179</v>
      </c>
      <c r="H7" s="34" t="s">
        <v>47</v>
      </c>
      <c r="I7" s="35" t="s">
        <v>150</v>
      </c>
      <c r="J7" s="23"/>
    </row>
    <row r="8" spans="1:10">
      <c r="A8">
        <v>2022</v>
      </c>
      <c r="B8" t="s">
        <v>72</v>
      </c>
      <c r="C8" t="s">
        <v>47</v>
      </c>
      <c r="D8" t="str">
        <f>VLOOKUP(C8,$H$4:$I$11,2,FALSE)</f>
        <v>Camera</v>
      </c>
      <c r="E8" t="s">
        <v>79</v>
      </c>
      <c r="F8" s="23">
        <v>219</v>
      </c>
      <c r="H8" s="32" t="s">
        <v>33</v>
      </c>
      <c r="I8" s="33" t="s">
        <v>36</v>
      </c>
      <c r="J8" s="23"/>
    </row>
    <row r="9" spans="1:10">
      <c r="A9">
        <v>2023</v>
      </c>
      <c r="B9" t="s">
        <v>73</v>
      </c>
      <c r="C9" t="s">
        <v>33</v>
      </c>
      <c r="D9" t="s">
        <v>36</v>
      </c>
      <c r="E9" t="s">
        <v>80</v>
      </c>
      <c r="F9" s="23">
        <v>209</v>
      </c>
      <c r="H9" s="34" t="s">
        <v>43</v>
      </c>
      <c r="I9" s="35" t="s">
        <v>36</v>
      </c>
      <c r="J9" s="23"/>
    </row>
    <row r="10" spans="1:10">
      <c r="A10">
        <v>2027</v>
      </c>
      <c r="B10" t="s">
        <v>76</v>
      </c>
      <c r="C10" t="s">
        <v>51</v>
      </c>
      <c r="D10" t="str">
        <f t="shared" ref="D10:D30" si="0">VLOOKUP(C10,$H$4:$I$11,2,FALSE)</f>
        <v>Floodlight</v>
      </c>
      <c r="E10" t="s">
        <v>79</v>
      </c>
      <c r="F10" s="23">
        <v>249</v>
      </c>
      <c r="H10" s="32" t="s">
        <v>37</v>
      </c>
      <c r="I10" s="33" t="s">
        <v>38</v>
      </c>
      <c r="J10" s="23"/>
    </row>
    <row r="11" spans="1:10">
      <c r="A11">
        <v>2029</v>
      </c>
      <c r="B11" t="s">
        <v>73</v>
      </c>
      <c r="C11" t="s">
        <v>43</v>
      </c>
      <c r="D11" t="str">
        <f t="shared" si="0"/>
        <v>Doorbell</v>
      </c>
      <c r="E11" t="s">
        <v>79</v>
      </c>
      <c r="F11" s="23">
        <v>209</v>
      </c>
      <c r="H11" s="34" t="s">
        <v>51</v>
      </c>
      <c r="I11" s="35" t="s">
        <v>38</v>
      </c>
      <c r="J11" s="23"/>
    </row>
    <row r="12" spans="1:10">
      <c r="A12">
        <v>2031</v>
      </c>
      <c r="B12" t="s">
        <v>73</v>
      </c>
      <c r="C12" t="s">
        <v>40</v>
      </c>
      <c r="D12" t="str">
        <f t="shared" si="0"/>
        <v>Alarm</v>
      </c>
      <c r="E12" t="s">
        <v>79</v>
      </c>
      <c r="F12" s="23">
        <v>249</v>
      </c>
    </row>
    <row r="13" spans="1:10">
      <c r="A13">
        <v>2033</v>
      </c>
      <c r="B13" t="s">
        <v>72</v>
      </c>
      <c r="C13" t="s">
        <v>45</v>
      </c>
      <c r="D13" t="str">
        <f t="shared" si="0"/>
        <v>Camera</v>
      </c>
      <c r="E13" t="s">
        <v>80</v>
      </c>
      <c r="F13" s="23">
        <v>179</v>
      </c>
      <c r="H13" s="99" t="s">
        <v>149</v>
      </c>
      <c r="I13" s="100"/>
    </row>
    <row r="14" spans="1:10">
      <c r="A14">
        <v>2037</v>
      </c>
      <c r="B14" t="s">
        <v>75</v>
      </c>
      <c r="C14" t="s">
        <v>33</v>
      </c>
      <c r="D14" t="str">
        <f t="shared" si="0"/>
        <v>Doorbell</v>
      </c>
      <c r="E14" t="s">
        <v>79</v>
      </c>
      <c r="F14" s="23">
        <v>199</v>
      </c>
      <c r="H14" s="32" t="s">
        <v>73</v>
      </c>
      <c r="I14" s="71">
        <f>GETPIVOTDATA("Total Sales",'May Sales by Region'!$A$3,"Region","Midwest")</f>
        <v>1543</v>
      </c>
    </row>
    <row r="15" spans="1:10">
      <c r="A15">
        <v>2039</v>
      </c>
      <c r="B15" t="s">
        <v>74</v>
      </c>
      <c r="C15" t="s">
        <v>49</v>
      </c>
      <c r="D15" t="str">
        <f t="shared" si="0"/>
        <v>Alarm</v>
      </c>
      <c r="E15" t="s">
        <v>81</v>
      </c>
      <c r="F15" s="23">
        <v>259</v>
      </c>
      <c r="H15" s="34" t="s">
        <v>76</v>
      </c>
      <c r="I15" s="72">
        <f>GETPIVOTDATA("Total Sales",'May Sales by Region'!$A$3,"Region","Northeast")</f>
        <v>1204</v>
      </c>
    </row>
    <row r="16" spans="1:10">
      <c r="A16">
        <v>2102</v>
      </c>
      <c r="B16" t="s">
        <v>73</v>
      </c>
      <c r="C16" t="s">
        <v>37</v>
      </c>
      <c r="D16" t="str">
        <f t="shared" si="0"/>
        <v>Floodlight</v>
      </c>
      <c r="E16" t="s">
        <v>79</v>
      </c>
      <c r="F16" s="23">
        <v>229</v>
      </c>
      <c r="H16" s="32" t="s">
        <v>72</v>
      </c>
      <c r="I16" s="71">
        <f>GETPIVOTDATA("Total Sales",'May Sales by Region'!$A$3,"Region","Northwest")</f>
        <v>1274</v>
      </c>
    </row>
    <row r="17" spans="1:9">
      <c r="A17">
        <v>2104</v>
      </c>
      <c r="B17" t="s">
        <v>72</v>
      </c>
      <c r="C17" t="s">
        <v>33</v>
      </c>
      <c r="D17" t="str">
        <f t="shared" si="0"/>
        <v>Doorbell</v>
      </c>
      <c r="E17" t="s">
        <v>79</v>
      </c>
      <c r="F17" s="23">
        <v>199</v>
      </c>
      <c r="H17" s="34" t="s">
        <v>74</v>
      </c>
      <c r="I17" s="72">
        <f>GETPIVOTDATA("Total Sales",'May Sales by Region'!$A$3,"Region","Southeast")</f>
        <v>946</v>
      </c>
    </row>
    <row r="18" spans="1:9">
      <c r="A18">
        <v>2106</v>
      </c>
      <c r="B18" t="s">
        <v>76</v>
      </c>
      <c r="C18" t="s">
        <v>33</v>
      </c>
      <c r="D18" t="str">
        <f t="shared" si="0"/>
        <v>Doorbell</v>
      </c>
      <c r="E18" t="s">
        <v>79</v>
      </c>
      <c r="F18" s="23">
        <v>199</v>
      </c>
      <c r="H18" s="73" t="s">
        <v>75</v>
      </c>
      <c r="I18" s="74">
        <f>GETPIVOTDATA("Total Sales",'May Sales by Region'!$A$3,"Region","Southwest")</f>
        <v>816</v>
      </c>
    </row>
    <row r="19" spans="1:9">
      <c r="A19">
        <v>2108</v>
      </c>
      <c r="B19" t="s">
        <v>75</v>
      </c>
      <c r="C19" t="s">
        <v>45</v>
      </c>
      <c r="D19" t="str">
        <f t="shared" si="0"/>
        <v>Camera</v>
      </c>
      <c r="E19" t="s">
        <v>81</v>
      </c>
      <c r="F19" s="23">
        <v>179</v>
      </c>
    </row>
    <row r="20" spans="1:9">
      <c r="A20">
        <v>2110</v>
      </c>
      <c r="B20" t="s">
        <v>73</v>
      </c>
      <c r="C20" t="s">
        <v>40</v>
      </c>
      <c r="D20" t="str">
        <f t="shared" si="0"/>
        <v>Alarm</v>
      </c>
      <c r="E20" t="s">
        <v>79</v>
      </c>
      <c r="F20" s="23">
        <v>249</v>
      </c>
    </row>
    <row r="21" spans="1:9">
      <c r="A21">
        <v>2112</v>
      </c>
      <c r="B21" t="s">
        <v>74</v>
      </c>
      <c r="C21" t="s">
        <v>37</v>
      </c>
      <c r="D21" t="str">
        <f t="shared" si="0"/>
        <v>Floodlight</v>
      </c>
      <c r="E21" t="s">
        <v>80</v>
      </c>
      <c r="F21" s="23">
        <v>229</v>
      </c>
    </row>
    <row r="22" spans="1:9">
      <c r="A22">
        <v>2114</v>
      </c>
      <c r="B22" t="s">
        <v>75</v>
      </c>
      <c r="C22" t="s">
        <v>43</v>
      </c>
      <c r="D22" t="str">
        <f t="shared" si="0"/>
        <v>Doorbell</v>
      </c>
      <c r="E22" t="s">
        <v>79</v>
      </c>
      <c r="F22" s="23">
        <v>209</v>
      </c>
    </row>
    <row r="23" spans="1:9">
      <c r="A23">
        <v>2116</v>
      </c>
      <c r="B23" t="s">
        <v>76</v>
      </c>
      <c r="C23" t="s">
        <v>33</v>
      </c>
      <c r="D23" t="str">
        <f t="shared" si="0"/>
        <v>Doorbell</v>
      </c>
      <c r="E23" t="s">
        <v>80</v>
      </c>
      <c r="F23" s="23">
        <v>199</v>
      </c>
    </row>
    <row r="24" spans="1:9">
      <c r="A24">
        <v>2118</v>
      </c>
      <c r="B24" t="s">
        <v>76</v>
      </c>
      <c r="C24" t="s">
        <v>45</v>
      </c>
      <c r="D24" t="str">
        <f t="shared" si="0"/>
        <v>Camera</v>
      </c>
      <c r="E24" t="s">
        <v>79</v>
      </c>
      <c r="F24" s="23">
        <v>179</v>
      </c>
    </row>
    <row r="25" spans="1:9">
      <c r="A25">
        <v>2120</v>
      </c>
      <c r="B25" t="s">
        <v>73</v>
      </c>
      <c r="C25" t="s">
        <v>47</v>
      </c>
      <c r="D25" t="str">
        <f t="shared" si="0"/>
        <v>Camera</v>
      </c>
      <c r="E25" t="s">
        <v>81</v>
      </c>
      <c r="F25" s="23">
        <v>219</v>
      </c>
    </row>
    <row r="26" spans="1:9">
      <c r="A26">
        <v>2122</v>
      </c>
      <c r="B26" t="s">
        <v>74</v>
      </c>
      <c r="C26" t="s">
        <v>49</v>
      </c>
      <c r="D26" t="str">
        <f t="shared" si="0"/>
        <v>Alarm</v>
      </c>
      <c r="E26" t="s">
        <v>79</v>
      </c>
      <c r="F26" s="23">
        <v>259</v>
      </c>
    </row>
    <row r="27" spans="1:9">
      <c r="A27">
        <v>2128</v>
      </c>
      <c r="B27" t="s">
        <v>72</v>
      </c>
      <c r="C27" t="s">
        <v>33</v>
      </c>
      <c r="D27" t="str">
        <f t="shared" si="0"/>
        <v>Doorbell</v>
      </c>
      <c r="E27" t="s">
        <v>79</v>
      </c>
      <c r="F27" s="23">
        <v>199</v>
      </c>
    </row>
    <row r="28" spans="1:9">
      <c r="A28">
        <v>2201</v>
      </c>
      <c r="B28" t="s">
        <v>73</v>
      </c>
      <c r="C28" t="s">
        <v>45</v>
      </c>
      <c r="D28" t="str">
        <f t="shared" si="0"/>
        <v>Camera</v>
      </c>
      <c r="E28" t="s">
        <v>79</v>
      </c>
      <c r="F28" s="23">
        <v>179</v>
      </c>
    </row>
    <row r="29" spans="1:9">
      <c r="A29">
        <v>2207</v>
      </c>
      <c r="B29" t="s">
        <v>72</v>
      </c>
      <c r="C29" t="s">
        <v>40</v>
      </c>
      <c r="D29" t="str">
        <f t="shared" si="0"/>
        <v>Alarm</v>
      </c>
      <c r="E29" t="s">
        <v>81</v>
      </c>
      <c r="F29" s="23">
        <v>249</v>
      </c>
    </row>
    <row r="30" spans="1:9">
      <c r="A30">
        <v>2208</v>
      </c>
      <c r="B30" t="s">
        <v>75</v>
      </c>
      <c r="C30" t="s">
        <v>37</v>
      </c>
      <c r="D30" t="str">
        <f t="shared" si="0"/>
        <v>Floodlight</v>
      </c>
      <c r="E30" t="s">
        <v>80</v>
      </c>
      <c r="F30" s="23">
        <v>229</v>
      </c>
    </row>
  </sheetData>
  <mergeCells count="3">
    <mergeCell ref="A2:F2"/>
    <mergeCell ref="A1:F1"/>
    <mergeCell ref="H13:I13"/>
  </mergeCells>
  <dataValidations count="1">
    <dataValidation type="list" allowBlank="1" showInputMessage="1" showErrorMessage="1" errorTitle="Product ID Error" error="The Product ID is incorrect." promptTitle="Product ID" prompt="Enter the ID for this product" sqref="C4:C30" xr:uid="{88FA8BB9-4A90-4D68-8898-B207576FF941}">
      <formula1>$H$4:$H$11</formula1>
    </dataValidation>
  </dataValidations>
  <pageMargins left="0.7" right="0.7" top="0.75" bottom="0.75" header="0.3" footer="0.3"/>
  <ignoredErrors>
    <ignoredError sqref="D9" calculatedColumn="1"/>
  </ignoredErrors>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37"/>
  <sheetViews>
    <sheetView showGridLines="0" workbookViewId="0">
      <selection activeCell="N14" sqref="N14"/>
    </sheetView>
  </sheetViews>
  <sheetFormatPr defaultRowHeight="14.25"/>
  <cols>
    <col min="1" max="1" width="11.125" bestFit="1" customWidth="1"/>
    <col min="2" max="2" width="18.625" bestFit="1" customWidth="1"/>
    <col min="3" max="3" width="17.125" bestFit="1" customWidth="1"/>
    <col min="4" max="4" width="8.875" bestFit="1" customWidth="1"/>
    <col min="5" max="5" width="3.375" customWidth="1"/>
    <col min="7" max="7" width="3.375" customWidth="1"/>
    <col min="8" max="8" width="10.875" bestFit="1" customWidth="1"/>
    <col min="9" max="9" width="14.125" bestFit="1" customWidth="1"/>
    <col min="10" max="10" width="8.125" bestFit="1" customWidth="1"/>
    <col min="11" max="11" width="7.375" bestFit="1" customWidth="1"/>
  </cols>
  <sheetData>
    <row r="1" spans="1:11" ht="53.25" customHeight="1">
      <c r="A1" s="98" t="s">
        <v>0</v>
      </c>
      <c r="B1" s="98"/>
      <c r="C1" s="98"/>
      <c r="D1" s="98"/>
    </row>
    <row r="2" spans="1:11" ht="15">
      <c r="A2" s="97" t="s">
        <v>86</v>
      </c>
      <c r="B2" s="97"/>
      <c r="C2" s="97"/>
      <c r="D2" s="97"/>
      <c r="H2" s="97" t="s">
        <v>88</v>
      </c>
      <c r="I2" s="97"/>
      <c r="J2" s="97"/>
      <c r="K2" s="97"/>
    </row>
    <row r="3" spans="1:11" ht="15">
      <c r="A3" s="21" t="s">
        <v>82</v>
      </c>
      <c r="B3" s="21" t="s">
        <v>83</v>
      </c>
      <c r="C3" s="21" t="s">
        <v>84</v>
      </c>
      <c r="D3" s="21" t="s">
        <v>85</v>
      </c>
      <c r="F3" s="29" t="s">
        <v>87</v>
      </c>
      <c r="H3" t="s">
        <v>89</v>
      </c>
      <c r="I3" t="s">
        <v>92</v>
      </c>
      <c r="J3" t="s">
        <v>90</v>
      </c>
      <c r="K3" t="s">
        <v>55</v>
      </c>
    </row>
    <row r="4" spans="1:11">
      <c r="A4">
        <v>2031</v>
      </c>
      <c r="B4" s="28">
        <v>45355</v>
      </c>
      <c r="C4" s="28">
        <v>45363</v>
      </c>
      <c r="D4" s="21">
        <f>C4-B4</f>
        <v>8</v>
      </c>
      <c r="F4" s="30">
        <v>2</v>
      </c>
      <c r="H4" t="s">
        <v>91</v>
      </c>
      <c r="I4" t="s">
        <v>93</v>
      </c>
      <c r="J4" t="s">
        <v>94</v>
      </c>
      <c r="K4" s="23">
        <v>369</v>
      </c>
    </row>
    <row r="5" spans="1:11">
      <c r="A5">
        <v>2110</v>
      </c>
      <c r="B5" s="28">
        <v>45355</v>
      </c>
      <c r="C5" s="28">
        <v>45361</v>
      </c>
      <c r="D5" s="21">
        <f t="shared" ref="D5:D30" si="0">C5-B5</f>
        <v>6</v>
      </c>
      <c r="F5" s="31">
        <v>4</v>
      </c>
      <c r="J5" t="s">
        <v>97</v>
      </c>
      <c r="K5" s="23">
        <v>427</v>
      </c>
    </row>
    <row r="6" spans="1:11">
      <c r="A6">
        <v>2207</v>
      </c>
      <c r="B6" s="28">
        <v>45356</v>
      </c>
      <c r="C6" s="28">
        <v>45358</v>
      </c>
      <c r="D6" s="21">
        <f t="shared" si="0"/>
        <v>2</v>
      </c>
      <c r="F6" s="30">
        <v>6</v>
      </c>
      <c r="I6" t="s">
        <v>95</v>
      </c>
      <c r="J6" t="s">
        <v>96</v>
      </c>
      <c r="K6" s="23">
        <v>597</v>
      </c>
    </row>
    <row r="7" spans="1:11">
      <c r="A7">
        <v>2039</v>
      </c>
      <c r="B7" s="28">
        <v>45358</v>
      </c>
      <c r="C7" s="28">
        <v>45363</v>
      </c>
      <c r="D7" s="21">
        <f t="shared" si="0"/>
        <v>5</v>
      </c>
      <c r="F7" s="31">
        <v>8</v>
      </c>
      <c r="J7" t="s">
        <v>98</v>
      </c>
      <c r="K7" s="23">
        <v>605</v>
      </c>
    </row>
    <row r="8" spans="1:11">
      <c r="A8">
        <v>2122</v>
      </c>
      <c r="B8" s="28">
        <v>45360</v>
      </c>
      <c r="C8" s="28">
        <v>45365</v>
      </c>
      <c r="D8" s="21">
        <f t="shared" si="0"/>
        <v>5</v>
      </c>
      <c r="H8" t="s">
        <v>42</v>
      </c>
      <c r="I8" t="s">
        <v>99</v>
      </c>
      <c r="J8" t="s">
        <v>100</v>
      </c>
      <c r="K8" s="23">
        <v>778</v>
      </c>
    </row>
    <row r="9" spans="1:11">
      <c r="A9">
        <v>2020</v>
      </c>
      <c r="B9" s="28">
        <v>45360</v>
      </c>
      <c r="C9" s="28">
        <v>45367</v>
      </c>
      <c r="D9" s="21">
        <f t="shared" si="0"/>
        <v>7</v>
      </c>
      <c r="J9" t="s">
        <v>101</v>
      </c>
      <c r="K9" s="23">
        <v>1026</v>
      </c>
    </row>
    <row r="10" spans="1:11">
      <c r="A10">
        <v>2033</v>
      </c>
      <c r="B10" s="28">
        <v>45361</v>
      </c>
      <c r="C10" s="28">
        <v>45367</v>
      </c>
      <c r="D10" s="21">
        <f t="shared" si="0"/>
        <v>6</v>
      </c>
      <c r="I10" t="s">
        <v>102</v>
      </c>
      <c r="J10" t="s">
        <v>103</v>
      </c>
      <c r="K10" s="23">
        <v>1033</v>
      </c>
    </row>
    <row r="11" spans="1:11">
      <c r="A11">
        <v>2108</v>
      </c>
      <c r="B11" s="28">
        <v>45363</v>
      </c>
      <c r="C11" s="28">
        <v>45368</v>
      </c>
      <c r="D11" s="21">
        <f t="shared" si="0"/>
        <v>5</v>
      </c>
      <c r="H11" t="s">
        <v>36</v>
      </c>
      <c r="I11" t="s">
        <v>104</v>
      </c>
      <c r="J11" t="s">
        <v>105</v>
      </c>
      <c r="K11" s="23">
        <v>750</v>
      </c>
    </row>
    <row r="12" spans="1:11">
      <c r="A12">
        <v>2118</v>
      </c>
      <c r="B12" s="28">
        <v>45365</v>
      </c>
      <c r="C12" s="28">
        <v>45368</v>
      </c>
      <c r="D12" s="21">
        <f t="shared" si="0"/>
        <v>3</v>
      </c>
      <c r="J12" t="s">
        <v>106</v>
      </c>
      <c r="K12" s="23">
        <v>825</v>
      </c>
    </row>
    <row r="13" spans="1:11" ht="13.5" customHeight="1">
      <c r="A13">
        <v>2201</v>
      </c>
      <c r="B13" s="28">
        <v>45366</v>
      </c>
      <c r="C13" s="28">
        <v>45370</v>
      </c>
      <c r="D13" s="21">
        <f t="shared" si="0"/>
        <v>4</v>
      </c>
      <c r="I13" t="s">
        <v>107</v>
      </c>
      <c r="J13" t="s">
        <v>108</v>
      </c>
      <c r="K13" s="23">
        <v>438</v>
      </c>
    </row>
    <row r="14" spans="1:11">
      <c r="A14">
        <v>2022</v>
      </c>
      <c r="B14" s="28">
        <v>45368</v>
      </c>
      <c r="C14" s="28">
        <v>45371</v>
      </c>
      <c r="D14" s="21">
        <f t="shared" si="0"/>
        <v>3</v>
      </c>
    </row>
    <row r="15" spans="1:11">
      <c r="A15">
        <v>2120</v>
      </c>
      <c r="B15" s="28">
        <v>45368</v>
      </c>
      <c r="C15" s="28">
        <v>45372</v>
      </c>
      <c r="D15" s="21">
        <f t="shared" si="0"/>
        <v>4</v>
      </c>
    </row>
    <row r="16" spans="1:11">
      <c r="A16">
        <v>2012</v>
      </c>
      <c r="B16" s="28">
        <v>45369</v>
      </c>
      <c r="C16" s="28">
        <v>45376</v>
      </c>
      <c r="D16" s="21">
        <f t="shared" si="0"/>
        <v>7</v>
      </c>
    </row>
    <row r="17" spans="1:4">
      <c r="A17">
        <v>2019</v>
      </c>
      <c r="B17" s="28">
        <v>45369</v>
      </c>
      <c r="C17" s="28">
        <v>45378</v>
      </c>
      <c r="D17" s="21">
        <f t="shared" si="0"/>
        <v>9</v>
      </c>
    </row>
    <row r="18" spans="1:4">
      <c r="A18">
        <v>2037</v>
      </c>
      <c r="B18" s="28">
        <v>45370</v>
      </c>
      <c r="C18" s="28">
        <v>45376</v>
      </c>
      <c r="D18" s="21">
        <f t="shared" si="0"/>
        <v>6</v>
      </c>
    </row>
    <row r="19" spans="1:4">
      <c r="A19">
        <v>2104</v>
      </c>
      <c r="B19" s="28">
        <v>45371</v>
      </c>
      <c r="C19" s="28">
        <v>45376</v>
      </c>
      <c r="D19" s="21">
        <f t="shared" si="0"/>
        <v>5</v>
      </c>
    </row>
    <row r="20" spans="1:4">
      <c r="A20">
        <v>2106</v>
      </c>
      <c r="B20" s="28">
        <v>45371</v>
      </c>
      <c r="C20" s="28">
        <v>45375</v>
      </c>
      <c r="D20" s="21">
        <f t="shared" si="0"/>
        <v>4</v>
      </c>
    </row>
    <row r="21" spans="1:4">
      <c r="A21">
        <v>2116</v>
      </c>
      <c r="B21" s="28">
        <v>45372</v>
      </c>
      <c r="C21" s="28">
        <v>45376</v>
      </c>
      <c r="D21" s="21">
        <f t="shared" si="0"/>
        <v>4</v>
      </c>
    </row>
    <row r="22" spans="1:4">
      <c r="A22">
        <v>2128</v>
      </c>
      <c r="B22" s="28">
        <v>45373</v>
      </c>
      <c r="C22" s="28">
        <v>45377</v>
      </c>
      <c r="D22" s="21">
        <f t="shared" si="0"/>
        <v>4</v>
      </c>
    </row>
    <row r="23" spans="1:4">
      <c r="A23">
        <v>2029</v>
      </c>
      <c r="B23" s="28">
        <v>45373</v>
      </c>
      <c r="C23" s="28">
        <v>45379</v>
      </c>
      <c r="D23" s="21">
        <f t="shared" si="0"/>
        <v>6</v>
      </c>
    </row>
    <row r="24" spans="1:4">
      <c r="A24">
        <v>2114</v>
      </c>
      <c r="B24" s="28">
        <v>45374</v>
      </c>
      <c r="C24" s="28">
        <v>45379</v>
      </c>
      <c r="D24" s="21">
        <f t="shared" si="0"/>
        <v>5</v>
      </c>
    </row>
    <row r="25" spans="1:4">
      <c r="A25">
        <v>2023</v>
      </c>
      <c r="B25" s="28">
        <v>45375</v>
      </c>
      <c r="C25" s="28">
        <v>45378</v>
      </c>
      <c r="D25" s="21">
        <f t="shared" si="0"/>
        <v>3</v>
      </c>
    </row>
    <row r="26" spans="1:4">
      <c r="A26">
        <v>2010</v>
      </c>
      <c r="B26" s="28">
        <v>45376</v>
      </c>
      <c r="C26" s="28">
        <v>45379</v>
      </c>
      <c r="D26" s="21">
        <f t="shared" si="0"/>
        <v>3</v>
      </c>
    </row>
    <row r="27" spans="1:4">
      <c r="A27">
        <v>2102</v>
      </c>
      <c r="B27" s="28">
        <v>45378</v>
      </c>
      <c r="C27" s="28">
        <v>45381</v>
      </c>
      <c r="D27" s="21">
        <f t="shared" si="0"/>
        <v>3</v>
      </c>
    </row>
    <row r="28" spans="1:4">
      <c r="A28">
        <v>2112</v>
      </c>
      <c r="B28" s="28">
        <v>45378</v>
      </c>
      <c r="C28" s="28">
        <v>45382</v>
      </c>
      <c r="D28" s="21">
        <f t="shared" si="0"/>
        <v>4</v>
      </c>
    </row>
    <row r="29" spans="1:4">
      <c r="A29">
        <v>2208</v>
      </c>
      <c r="B29" s="28">
        <v>45379</v>
      </c>
      <c r="C29" s="28">
        <v>45384</v>
      </c>
      <c r="D29" s="21">
        <f t="shared" si="0"/>
        <v>5</v>
      </c>
    </row>
    <row r="30" spans="1:4">
      <c r="A30">
        <v>2027</v>
      </c>
      <c r="B30" s="28">
        <v>45380</v>
      </c>
      <c r="C30" s="28">
        <v>45384</v>
      </c>
      <c r="D30" s="21">
        <f t="shared" si="0"/>
        <v>4</v>
      </c>
    </row>
    <row r="31" spans="1:4" ht="15" thickBot="1"/>
    <row r="32" spans="1:4">
      <c r="A32" s="113" t="s">
        <v>186</v>
      </c>
      <c r="B32" s="113" t="s">
        <v>188</v>
      </c>
      <c r="C32" s="113" t="s">
        <v>189</v>
      </c>
    </row>
    <row r="33" spans="1:3">
      <c r="A33" s="107">
        <v>2</v>
      </c>
      <c r="B33" s="108">
        <v>1</v>
      </c>
      <c r="C33" s="109">
        <v>3.7037037037037035E-2</v>
      </c>
    </row>
    <row r="34" spans="1:3">
      <c r="A34" s="107">
        <v>4</v>
      </c>
      <c r="B34" s="108">
        <v>12</v>
      </c>
      <c r="C34" s="109">
        <v>0.48148148148148145</v>
      </c>
    </row>
    <row r="35" spans="1:3">
      <c r="A35" s="107">
        <v>6</v>
      </c>
      <c r="B35" s="108">
        <v>10</v>
      </c>
      <c r="C35" s="109">
        <v>0.85185185185185186</v>
      </c>
    </row>
    <row r="36" spans="1:3">
      <c r="A36" s="107">
        <v>8</v>
      </c>
      <c r="B36" s="108">
        <v>3</v>
      </c>
      <c r="C36" s="109">
        <v>0.96296296296296291</v>
      </c>
    </row>
    <row r="37" spans="1:3" ht="15" thickBot="1">
      <c r="A37" s="110" t="s">
        <v>187</v>
      </c>
      <c r="B37" s="110">
        <v>1</v>
      </c>
      <c r="C37" s="111">
        <v>1</v>
      </c>
    </row>
  </sheetData>
  <sortState xmlns:xlrd2="http://schemas.microsoft.com/office/spreadsheetml/2017/richdata2" ref="A33:A36">
    <sortCondition ref="A33"/>
  </sortState>
  <mergeCells count="3">
    <mergeCell ref="A2:D2"/>
    <mergeCell ref="A1:D1"/>
    <mergeCell ref="H2:K2"/>
  </mergeCells>
  <dataValidations count="1">
    <dataValidation allowBlank="1" error="pavI8MeUFtEyxX2I4tky89936d95-2f14-476f-a137-a8155052c265" sqref="A1:K30" xr:uid="{00000000-0002-0000-0400-000000000000}"/>
  </dataValidations>
  <pageMargins left="0.7" right="0.7" top="0.75" bottom="0.75" header="0.3" footer="0.3"/>
  <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4F95D-E6D5-4726-A379-ED236599ED3D}">
  <sheetPr>
    <outlinePr summaryBelow="0"/>
  </sheetPr>
  <dimension ref="B1:F16"/>
  <sheetViews>
    <sheetView showGridLines="0" workbookViewId="0"/>
  </sheetViews>
  <sheetFormatPr defaultRowHeight="14.25" outlineLevelRow="1" outlineLevelCol="1"/>
  <cols>
    <col min="3" max="3" width="24.5" bestFit="1" customWidth="1"/>
    <col min="4" max="6" width="12.125" bestFit="1" customWidth="1" outlineLevel="1"/>
  </cols>
  <sheetData>
    <row r="1" spans="2:6" ht="15" thickBot="1"/>
    <row r="2" spans="2:6" ht="15.75">
      <c r="B2" s="119" t="s">
        <v>198</v>
      </c>
      <c r="C2" s="119"/>
      <c r="D2" s="123"/>
      <c r="E2" s="123"/>
      <c r="F2" s="123"/>
    </row>
    <row r="3" spans="2:6" ht="15.75" collapsed="1">
      <c r="B3" s="118"/>
      <c r="C3" s="118"/>
      <c r="D3" s="124" t="s">
        <v>200</v>
      </c>
      <c r="E3" s="124" t="s">
        <v>194</v>
      </c>
      <c r="F3" s="124" t="s">
        <v>196</v>
      </c>
    </row>
    <row r="4" spans="2:6" ht="45" hidden="1" outlineLevel="1">
      <c r="B4" s="120"/>
      <c r="C4" s="120"/>
      <c r="D4" s="108"/>
      <c r="E4" s="128" t="s">
        <v>195</v>
      </c>
      <c r="F4" s="128" t="s">
        <v>197</v>
      </c>
    </row>
    <row r="5" spans="2:6" ht="15">
      <c r="B5" s="121" t="s">
        <v>199</v>
      </c>
      <c r="C5" s="121"/>
      <c r="D5" s="112"/>
      <c r="E5" s="112"/>
      <c r="F5" s="112"/>
    </row>
    <row r="6" spans="2:6" ht="15" outlineLevel="1">
      <c r="B6" s="120"/>
      <c r="C6" s="120" t="s">
        <v>190</v>
      </c>
      <c r="D6" s="114">
        <v>1488</v>
      </c>
      <c r="E6" s="125">
        <v>1600</v>
      </c>
      <c r="F6" s="125">
        <v>1400</v>
      </c>
    </row>
    <row r="7" spans="2:6" ht="15" outlineLevel="1">
      <c r="B7" s="120"/>
      <c r="C7" s="120" t="s">
        <v>191</v>
      </c>
      <c r="D7" s="115">
        <v>199</v>
      </c>
      <c r="E7" s="126">
        <v>199</v>
      </c>
      <c r="F7" s="126">
        <v>209</v>
      </c>
    </row>
    <row r="8" spans="2:6" ht="15" outlineLevel="1">
      <c r="B8" s="120"/>
      <c r="C8" s="120" t="s">
        <v>126</v>
      </c>
      <c r="D8" s="116">
        <v>61456</v>
      </c>
      <c r="E8" s="127">
        <v>81456</v>
      </c>
      <c r="F8" s="127">
        <v>61456</v>
      </c>
    </row>
    <row r="9" spans="2:6" ht="15" outlineLevel="1">
      <c r="B9" s="120"/>
      <c r="C9" s="120" t="s">
        <v>192</v>
      </c>
      <c r="D9" s="114">
        <v>11845</v>
      </c>
      <c r="E9" s="125">
        <v>15845</v>
      </c>
      <c r="F9" s="125">
        <v>11000</v>
      </c>
    </row>
    <row r="10" spans="2:6" ht="15" outlineLevel="1">
      <c r="B10" s="120"/>
      <c r="C10" s="120" t="s">
        <v>128</v>
      </c>
      <c r="D10" s="114">
        <v>10565</v>
      </c>
      <c r="E10" s="125">
        <v>11565</v>
      </c>
      <c r="F10" s="125">
        <v>10000</v>
      </c>
    </row>
    <row r="11" spans="2:6" ht="15" outlineLevel="1">
      <c r="B11" s="120"/>
      <c r="C11" s="120" t="s">
        <v>129</v>
      </c>
      <c r="D11" s="114">
        <v>12550</v>
      </c>
      <c r="E11" s="125">
        <v>13000</v>
      </c>
      <c r="F11" s="125">
        <v>12000</v>
      </c>
    </row>
    <row r="12" spans="2:6" ht="15">
      <c r="B12" s="121" t="s">
        <v>201</v>
      </c>
      <c r="C12" s="121"/>
      <c r="D12" s="112"/>
      <c r="E12" s="112"/>
      <c r="F12" s="112"/>
    </row>
    <row r="13" spans="2:6" ht="15.75" outlineLevel="1" thickBot="1">
      <c r="B13" s="122"/>
      <c r="C13" s="122" t="s">
        <v>193</v>
      </c>
      <c r="D13" s="117">
        <v>47920</v>
      </c>
      <c r="E13" s="117">
        <v>33334</v>
      </c>
      <c r="F13" s="117">
        <v>55344</v>
      </c>
    </row>
    <row r="14" spans="2:6">
      <c r="B14" t="s">
        <v>202</v>
      </c>
    </row>
    <row r="15" spans="2:6">
      <c r="B15" t="s">
        <v>203</v>
      </c>
    </row>
    <row r="16" spans="2:6">
      <c r="B16" t="s">
        <v>204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G28"/>
  <sheetViews>
    <sheetView workbookViewId="0">
      <selection activeCell="D5" sqref="D5 B7 B10"/>
    </sheetView>
  </sheetViews>
  <sheetFormatPr defaultRowHeight="14.25"/>
  <cols>
    <col min="1" max="1" width="23.625" bestFit="1" customWidth="1"/>
    <col min="2" max="2" width="17.5" customWidth="1"/>
    <col min="3" max="3" width="3.375" customWidth="1"/>
    <col min="4" max="4" width="10.125" bestFit="1" customWidth="1"/>
    <col min="5" max="5" width="12.375" bestFit="1" customWidth="1"/>
    <col min="6" max="7" width="11.125" bestFit="1" customWidth="1"/>
  </cols>
  <sheetData>
    <row r="1" spans="1:7" ht="53.25" customHeight="1">
      <c r="A1" s="98" t="s">
        <v>0</v>
      </c>
      <c r="B1" s="98"/>
    </row>
    <row r="2" spans="1:7" ht="18.75">
      <c r="A2" s="101" t="s">
        <v>112</v>
      </c>
      <c r="B2" s="101"/>
    </row>
    <row r="4" spans="1:7">
      <c r="A4" s="43" t="s">
        <v>113</v>
      </c>
      <c r="B4" s="43"/>
      <c r="D4" s="53" t="s">
        <v>114</v>
      </c>
      <c r="E4" s="54" t="s">
        <v>113</v>
      </c>
      <c r="F4" s="54" t="s">
        <v>134</v>
      </c>
      <c r="G4" s="55" t="s">
        <v>135</v>
      </c>
    </row>
    <row r="5" spans="1:7">
      <c r="A5" t="s">
        <v>115</v>
      </c>
      <c r="B5" s="46">
        <v>1488</v>
      </c>
      <c r="D5" s="56">
        <f>Units_sold</f>
        <v>1488</v>
      </c>
      <c r="E5" s="51">
        <f>B25</f>
        <v>296112</v>
      </c>
      <c r="F5" s="51">
        <f>B26</f>
        <v>248192</v>
      </c>
      <c r="G5" s="57">
        <f>B27</f>
        <v>47920</v>
      </c>
    </row>
    <row r="6" spans="1:7">
      <c r="A6" t="s">
        <v>116</v>
      </c>
      <c r="B6" s="48">
        <v>199</v>
      </c>
      <c r="D6" s="58">
        <v>600</v>
      </c>
      <c r="E6" s="59">
        <f t="dataTable" ref="E6:G14" dt2D="0" dtr="0" r1="B5"/>
        <v>119400</v>
      </c>
      <c r="F6" s="59">
        <v>157616</v>
      </c>
      <c r="G6" s="60">
        <v>-38216</v>
      </c>
    </row>
    <row r="7" spans="1:7" ht="15.75" thickBot="1">
      <c r="A7" s="44" t="s">
        <v>117</v>
      </c>
      <c r="B7" s="45">
        <f>Units_sold*Price_per_unit</f>
        <v>296112</v>
      </c>
      <c r="D7" s="58">
        <v>800</v>
      </c>
      <c r="E7" s="59">
        <v>159200</v>
      </c>
      <c r="F7" s="59">
        <v>178016</v>
      </c>
      <c r="G7" s="60">
        <v>-18816</v>
      </c>
    </row>
    <row r="8" spans="1:7" ht="15" thickTop="1">
      <c r="D8" s="58">
        <v>1000</v>
      </c>
      <c r="E8" s="59">
        <v>199000</v>
      </c>
      <c r="F8" s="59">
        <v>198416</v>
      </c>
      <c r="G8" s="60">
        <v>584</v>
      </c>
    </row>
    <row r="9" spans="1:7">
      <c r="A9" s="43" t="s">
        <v>118</v>
      </c>
      <c r="B9" s="43"/>
      <c r="D9" s="58">
        <v>1200</v>
      </c>
      <c r="E9" s="59">
        <v>238800</v>
      </c>
      <c r="F9" s="59">
        <v>218816</v>
      </c>
      <c r="G9" s="60">
        <v>19984</v>
      </c>
    </row>
    <row r="10" spans="1:7">
      <c r="A10" t="s">
        <v>119</v>
      </c>
      <c r="B10" s="46">
        <f>Units_sold</f>
        <v>1488</v>
      </c>
      <c r="D10" s="58">
        <v>1488</v>
      </c>
      <c r="E10" s="59">
        <v>296112</v>
      </c>
      <c r="F10" s="59">
        <v>248192</v>
      </c>
      <c r="G10" s="60">
        <v>47920</v>
      </c>
    </row>
    <row r="11" spans="1:7">
      <c r="A11" t="s">
        <v>120</v>
      </c>
      <c r="B11" s="23">
        <v>64</v>
      </c>
      <c r="D11" s="58">
        <v>1600</v>
      </c>
      <c r="E11" s="59">
        <v>318400</v>
      </c>
      <c r="F11" s="59">
        <v>259616</v>
      </c>
      <c r="G11" s="60">
        <v>58784</v>
      </c>
    </row>
    <row r="12" spans="1:7">
      <c r="A12" s="47" t="s">
        <v>121</v>
      </c>
      <c r="B12" s="49">
        <f>B10*B11</f>
        <v>95232</v>
      </c>
      <c r="D12" s="58">
        <v>1800</v>
      </c>
      <c r="E12" s="59">
        <v>358200</v>
      </c>
      <c r="F12" s="59">
        <v>280016</v>
      </c>
      <c r="G12" s="60">
        <v>78184</v>
      </c>
    </row>
    <row r="13" spans="1:7">
      <c r="A13" t="s">
        <v>122</v>
      </c>
      <c r="B13" s="23">
        <v>38</v>
      </c>
      <c r="D13" s="58">
        <v>2000</v>
      </c>
      <c r="E13" s="59">
        <v>398000</v>
      </c>
      <c r="F13" s="59">
        <v>300416</v>
      </c>
      <c r="G13" s="60">
        <v>97584</v>
      </c>
    </row>
    <row r="14" spans="1:7">
      <c r="A14" s="47" t="s">
        <v>123</v>
      </c>
      <c r="B14" s="49">
        <f>B10*B13</f>
        <v>56544</v>
      </c>
      <c r="D14" s="61">
        <v>2200</v>
      </c>
      <c r="E14" s="62">
        <v>437800</v>
      </c>
      <c r="F14" s="62">
        <v>320816</v>
      </c>
      <c r="G14" s="63">
        <v>116984</v>
      </c>
    </row>
    <row r="15" spans="1:7" ht="15.75" thickBot="1">
      <c r="A15" s="44" t="s">
        <v>124</v>
      </c>
      <c r="B15" s="45">
        <f>B12+B14</f>
        <v>151776</v>
      </c>
    </row>
    <row r="16" spans="1:7" ht="15" thickTop="1"/>
    <row r="17" spans="1:2">
      <c r="A17" s="43" t="s">
        <v>125</v>
      </c>
      <c r="B17" s="43"/>
    </row>
    <row r="18" spans="1:2">
      <c r="A18" t="s">
        <v>126</v>
      </c>
      <c r="B18" s="50">
        <v>61456</v>
      </c>
    </row>
    <row r="19" spans="1:2">
      <c r="A19" t="s">
        <v>127</v>
      </c>
      <c r="B19" s="46">
        <v>11845</v>
      </c>
    </row>
    <row r="20" spans="1:2">
      <c r="A20" t="s">
        <v>128</v>
      </c>
      <c r="B20" s="46">
        <v>10565</v>
      </c>
    </row>
    <row r="21" spans="1:2">
      <c r="A21" t="s">
        <v>129</v>
      </c>
      <c r="B21" s="46">
        <v>12550</v>
      </c>
    </row>
    <row r="22" spans="1:2" ht="15.75" thickBot="1">
      <c r="A22" s="44" t="s">
        <v>130</v>
      </c>
      <c r="B22" s="45">
        <f>SUM(B18:B21)</f>
        <v>96416</v>
      </c>
    </row>
    <row r="23" spans="1:2" ht="15" thickTop="1"/>
    <row r="24" spans="1:2">
      <c r="A24" s="43" t="s">
        <v>131</v>
      </c>
      <c r="B24" s="43"/>
    </row>
    <row r="25" spans="1:2">
      <c r="A25" t="s">
        <v>117</v>
      </c>
      <c r="B25" s="46">
        <f>B7</f>
        <v>296112</v>
      </c>
    </row>
    <row r="26" spans="1:2">
      <c r="A26" t="s">
        <v>132</v>
      </c>
      <c r="B26" s="46">
        <f>B15+B22</f>
        <v>248192</v>
      </c>
    </row>
    <row r="27" spans="1:2" ht="15.75" thickBot="1">
      <c r="A27" s="44" t="s">
        <v>133</v>
      </c>
      <c r="B27" s="45">
        <f>B25-B26</f>
        <v>47920</v>
      </c>
    </row>
    <row r="28" spans="1:2" ht="15" thickTop="1"/>
  </sheetData>
  <scenarios current="1" sqref="B27">
    <scenario name="Expansion" locked="1" count="6" user="Your Name" comment="Created by Your Name on 8/11/2019">
      <inputCells r="B5" val="1600" numFmtId="167"/>
      <inputCells r="B6" val="199" numFmtId="165"/>
      <inputCells r="B18" val="81456" numFmtId="166"/>
      <inputCells r="B19" val="15845" numFmtId="167"/>
      <inputCells r="B20" val="11565" numFmtId="167"/>
      <inputCells r="B21" val="13000" numFmtId="167"/>
    </scenario>
    <scenario name="Raise Price" locked="1" count="6" user="Matthew Arceneaux" comment="Created by Matthew Arceneaux on 12/8/2024">
      <inputCells r="B5" val="1400" numFmtId="167"/>
      <inputCells r="B6" val="209" numFmtId="165"/>
      <inputCells r="B18" val="61456" numFmtId="166"/>
      <inputCells r="B19" val="11000" numFmtId="167"/>
      <inputCells r="B20" val="10000" numFmtId="167"/>
      <inputCells r="B21" val="12000" numFmtId="167"/>
    </scenario>
  </scenarios>
  <mergeCells count="2">
    <mergeCell ref="A1:B1"/>
    <mergeCell ref="A2:B2"/>
  </mergeCells>
  <dataValidations count="1">
    <dataValidation allowBlank="1" error="pavI8MeUFtEyxX2I4tky89936d95-2f14-476f-a137-a8155052c265" sqref="A1:G28" xr:uid="{00000000-0002-0000-0500-000000000000}"/>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C7EDD-5216-46EE-93C5-4B6CD31A315A}">
  <dimension ref="A1:G35"/>
  <sheetViews>
    <sheetView showGridLines="0" workbookViewId="0"/>
  </sheetViews>
  <sheetFormatPr defaultRowHeight="14.25"/>
  <cols>
    <col min="1" max="1" width="2.125" customWidth="1"/>
    <col min="2" max="2" width="16.75" bestFit="1" customWidth="1"/>
    <col min="3" max="3" width="20.375" bestFit="1" customWidth="1"/>
    <col min="4" max="4" width="13.375" bestFit="1" customWidth="1"/>
    <col min="5" max="5" width="12.25" bestFit="1" customWidth="1"/>
    <col min="6" max="6" width="10.125" bestFit="1" customWidth="1"/>
    <col min="7" max="7" width="5.625" bestFit="1" customWidth="1"/>
  </cols>
  <sheetData>
    <row r="1" spans="1:5" ht="15">
      <c r="A1" s="129" t="s">
        <v>205</v>
      </c>
    </row>
    <row r="2" spans="1:5" ht="15">
      <c r="A2" s="129" t="s">
        <v>206</v>
      </c>
    </row>
    <row r="3" spans="1:5" ht="15">
      <c r="A3" s="129" t="s">
        <v>207</v>
      </c>
    </row>
    <row r="4" spans="1:5" ht="15">
      <c r="A4" s="129" t="s">
        <v>208</v>
      </c>
    </row>
    <row r="5" spans="1:5" ht="15">
      <c r="A5" s="129" t="s">
        <v>209</v>
      </c>
    </row>
    <row r="6" spans="1:5" ht="15">
      <c r="A6" s="129"/>
      <c r="B6" t="s">
        <v>210</v>
      </c>
    </row>
    <row r="7" spans="1:5" ht="15">
      <c r="A7" s="129"/>
      <c r="B7" t="s">
        <v>211</v>
      </c>
    </row>
    <row r="8" spans="1:5" ht="15">
      <c r="A8" s="129"/>
      <c r="B8" t="s">
        <v>212</v>
      </c>
    </row>
    <row r="9" spans="1:5" ht="15">
      <c r="A9" s="129" t="s">
        <v>213</v>
      </c>
    </row>
    <row r="10" spans="1:5">
      <c r="B10" t="s">
        <v>214</v>
      </c>
    </row>
    <row r="11" spans="1:5">
      <c r="B11" t="s">
        <v>215</v>
      </c>
    </row>
    <row r="14" spans="1:5" ht="15" thickBot="1">
      <c r="A14" t="s">
        <v>216</v>
      </c>
    </row>
    <row r="15" spans="1:5" ht="15.75" thickBot="1">
      <c r="B15" s="131" t="s">
        <v>217</v>
      </c>
      <c r="C15" s="131" t="s">
        <v>218</v>
      </c>
      <c r="D15" s="131" t="s">
        <v>219</v>
      </c>
      <c r="E15" s="131" t="s">
        <v>220</v>
      </c>
    </row>
    <row r="16" spans="1:5" ht="15" thickBot="1">
      <c r="B16" s="130" t="s">
        <v>228</v>
      </c>
      <c r="C16" s="130" t="s">
        <v>229</v>
      </c>
      <c r="D16" s="133">
        <v>98000</v>
      </c>
      <c r="E16" s="133">
        <v>98000</v>
      </c>
    </row>
    <row r="19" spans="1:7" ht="15" thickBot="1">
      <c r="A19" t="s">
        <v>221</v>
      </c>
    </row>
    <row r="20" spans="1:7" ht="15.75" thickBot="1">
      <c r="B20" s="131" t="s">
        <v>217</v>
      </c>
      <c r="C20" s="131" t="s">
        <v>218</v>
      </c>
      <c r="D20" s="131" t="s">
        <v>219</v>
      </c>
      <c r="E20" s="131" t="s">
        <v>220</v>
      </c>
      <c r="F20" s="131" t="s">
        <v>222</v>
      </c>
    </row>
    <row r="21" spans="1:7">
      <c r="B21" s="132" t="s">
        <v>230</v>
      </c>
      <c r="C21" s="132" t="s">
        <v>231</v>
      </c>
      <c r="D21" s="134">
        <v>2</v>
      </c>
      <c r="E21" s="134">
        <v>2</v>
      </c>
      <c r="F21" s="132" t="s">
        <v>222</v>
      </c>
    </row>
    <row r="22" spans="1:7">
      <c r="B22" s="132" t="s">
        <v>232</v>
      </c>
      <c r="C22" s="132" t="s">
        <v>233</v>
      </c>
      <c r="D22" s="134">
        <v>2</v>
      </c>
      <c r="E22" s="134">
        <v>2</v>
      </c>
      <c r="F22" s="132" t="s">
        <v>222</v>
      </c>
    </row>
    <row r="23" spans="1:7" ht="15" thickBot="1">
      <c r="B23" s="130" t="s">
        <v>234</v>
      </c>
      <c r="C23" s="130" t="s">
        <v>235</v>
      </c>
      <c r="D23" s="135">
        <v>4</v>
      </c>
      <c r="E23" s="135">
        <v>4</v>
      </c>
      <c r="F23" s="130" t="s">
        <v>222</v>
      </c>
    </row>
    <row r="26" spans="1:7" ht="15" thickBot="1">
      <c r="A26" t="s">
        <v>223</v>
      </c>
    </row>
    <row r="27" spans="1:7" ht="15.75" thickBot="1">
      <c r="B27" s="131" t="s">
        <v>217</v>
      </c>
      <c r="C27" s="131" t="s">
        <v>218</v>
      </c>
      <c r="D27" s="131" t="s">
        <v>224</v>
      </c>
      <c r="E27" s="131" t="s">
        <v>225</v>
      </c>
      <c r="F27" s="131" t="s">
        <v>226</v>
      </c>
      <c r="G27" s="131" t="s">
        <v>227</v>
      </c>
    </row>
    <row r="28" spans="1:7">
      <c r="B28" s="132" t="s">
        <v>228</v>
      </c>
      <c r="C28" s="132" t="s">
        <v>229</v>
      </c>
      <c r="D28" s="136">
        <v>98000</v>
      </c>
      <c r="E28" s="132" t="s">
        <v>236</v>
      </c>
      <c r="F28" s="132" t="s">
        <v>237</v>
      </c>
      <c r="G28" s="132">
        <v>0</v>
      </c>
    </row>
    <row r="29" spans="1:7">
      <c r="B29" s="132" t="s">
        <v>230</v>
      </c>
      <c r="C29" s="132" t="s">
        <v>231</v>
      </c>
      <c r="D29" s="134">
        <v>2</v>
      </c>
      <c r="E29" s="132" t="s">
        <v>238</v>
      </c>
      <c r="F29" s="132" t="s">
        <v>237</v>
      </c>
      <c r="G29" s="134">
        <v>0</v>
      </c>
    </row>
    <row r="30" spans="1:7">
      <c r="B30" s="132" t="s">
        <v>232</v>
      </c>
      <c r="C30" s="132" t="s">
        <v>233</v>
      </c>
      <c r="D30" s="134">
        <v>2</v>
      </c>
      <c r="E30" s="132" t="s">
        <v>239</v>
      </c>
      <c r="F30" s="132" t="s">
        <v>240</v>
      </c>
      <c r="G30" s="134">
        <v>2</v>
      </c>
    </row>
    <row r="31" spans="1:7">
      <c r="B31" s="132" t="s">
        <v>234</v>
      </c>
      <c r="C31" s="132" t="s">
        <v>235</v>
      </c>
      <c r="D31" s="134">
        <v>4</v>
      </c>
      <c r="E31" s="132" t="s">
        <v>241</v>
      </c>
      <c r="F31" s="132" t="s">
        <v>240</v>
      </c>
      <c r="G31" s="134">
        <v>1</v>
      </c>
    </row>
    <row r="32" spans="1:7">
      <c r="B32" s="132" t="s">
        <v>230</v>
      </c>
      <c r="C32" s="132" t="s">
        <v>231</v>
      </c>
      <c r="D32" s="134">
        <v>2</v>
      </c>
      <c r="E32" s="132" t="s">
        <v>242</v>
      </c>
      <c r="F32" s="132" t="s">
        <v>237</v>
      </c>
      <c r="G32" s="132">
        <v>0</v>
      </c>
    </row>
    <row r="33" spans="2:7">
      <c r="B33" s="132" t="s">
        <v>232</v>
      </c>
      <c r="C33" s="132" t="s">
        <v>233</v>
      </c>
      <c r="D33" s="134">
        <v>2</v>
      </c>
      <c r="E33" s="132" t="s">
        <v>243</v>
      </c>
      <c r="F33" s="132" t="s">
        <v>237</v>
      </c>
      <c r="G33" s="132">
        <v>0</v>
      </c>
    </row>
    <row r="34" spans="2:7">
      <c r="B34" s="132" t="s">
        <v>234</v>
      </c>
      <c r="C34" s="132" t="s">
        <v>235</v>
      </c>
      <c r="D34" s="134">
        <v>4</v>
      </c>
      <c r="E34" s="132" t="s">
        <v>244</v>
      </c>
      <c r="F34" s="132" t="s">
        <v>237</v>
      </c>
      <c r="G34" s="132">
        <v>0</v>
      </c>
    </row>
    <row r="35" spans="2:7" ht="15" thickBot="1">
      <c r="B35" s="130" t="s">
        <v>245</v>
      </c>
      <c r="C35" s="130"/>
      <c r="D35" s="130"/>
      <c r="E35" s="130"/>
      <c r="F35" s="130"/>
      <c r="G35" s="13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21"/>
  <sheetViews>
    <sheetView workbookViewId="0">
      <selection activeCell="G1" sqref="G1"/>
    </sheetView>
  </sheetViews>
  <sheetFormatPr defaultRowHeight="14.25"/>
  <cols>
    <col min="1" max="1" width="23.625" bestFit="1" customWidth="1"/>
    <col min="2" max="4" width="15.5" bestFit="1" customWidth="1"/>
    <col min="5" max="5" width="13.5" bestFit="1" customWidth="1"/>
  </cols>
  <sheetData>
    <row r="1" spans="1:5" ht="53.25" customHeight="1">
      <c r="A1" s="98" t="s">
        <v>0</v>
      </c>
      <c r="B1" s="98"/>
      <c r="C1" s="98"/>
      <c r="D1" s="98"/>
    </row>
    <row r="2" spans="1:5" ht="15.75">
      <c r="A2" s="102" t="s">
        <v>145</v>
      </c>
      <c r="B2" s="102"/>
      <c r="C2" s="102"/>
      <c r="D2" s="102"/>
    </row>
    <row r="4" spans="1:5">
      <c r="A4" s="43"/>
      <c r="B4" s="52" t="s">
        <v>138</v>
      </c>
      <c r="C4" s="52" t="s">
        <v>136</v>
      </c>
      <c r="D4" s="52" t="s">
        <v>137</v>
      </c>
    </row>
    <row r="5" spans="1:5">
      <c r="A5" t="s">
        <v>140</v>
      </c>
      <c r="B5" s="46">
        <v>1025</v>
      </c>
      <c r="C5" s="46">
        <v>1250</v>
      </c>
      <c r="D5" s="46">
        <v>990</v>
      </c>
    </row>
    <row r="6" spans="1:5">
      <c r="A6" t="s">
        <v>141</v>
      </c>
      <c r="B6" s="50">
        <v>12500</v>
      </c>
      <c r="C6" s="50">
        <v>14000</v>
      </c>
      <c r="D6" s="50">
        <v>11250</v>
      </c>
    </row>
    <row r="7" spans="1:5">
      <c r="A7" t="s">
        <v>139</v>
      </c>
      <c r="B7" s="64">
        <f>B6/B5</f>
        <v>12.195121951219512</v>
      </c>
      <c r="C7" s="64">
        <f t="shared" ref="C7:D7" si="0">C6/C5</f>
        <v>11.2</v>
      </c>
      <c r="D7" s="64">
        <f t="shared" si="0"/>
        <v>11.363636363636363</v>
      </c>
    </row>
    <row r="8" spans="1:5">
      <c r="E8" s="21" t="s">
        <v>109</v>
      </c>
    </row>
    <row r="9" spans="1:5">
      <c r="A9" s="66" t="s">
        <v>142</v>
      </c>
      <c r="B9" s="67">
        <v>2</v>
      </c>
      <c r="C9" s="67">
        <v>2</v>
      </c>
      <c r="D9" s="67">
        <v>4</v>
      </c>
      <c r="E9" s="68">
        <f>SUM(B9:D9)</f>
        <v>8</v>
      </c>
    </row>
    <row r="10" spans="1:5">
      <c r="A10" t="s">
        <v>143</v>
      </c>
      <c r="B10" s="69">
        <f>B5*Chicago_promotions</f>
        <v>2050</v>
      </c>
      <c r="C10" s="69">
        <f>C5*Chicago_promotions</f>
        <v>2500</v>
      </c>
      <c r="D10" s="69">
        <f>D5*Chicago_promotions</f>
        <v>1980</v>
      </c>
      <c r="E10" s="69">
        <f>SUM(B10:D10)</f>
        <v>6530</v>
      </c>
    </row>
    <row r="11" spans="1:5">
      <c r="A11" t="s">
        <v>144</v>
      </c>
      <c r="B11" s="22">
        <f>B6*Chicago_promotions</f>
        <v>25000</v>
      </c>
      <c r="C11" s="22">
        <f>C6*Las_Vegas_promotions</f>
        <v>28000</v>
      </c>
      <c r="D11" s="22">
        <f>D6*Orlando_promotions</f>
        <v>45000</v>
      </c>
      <c r="E11" s="22">
        <f>SUM(B11:D11)</f>
        <v>98000</v>
      </c>
    </row>
    <row r="12" spans="1:5">
      <c r="B12" s="65"/>
      <c r="C12" s="65"/>
      <c r="D12" s="65"/>
    </row>
    <row r="13" spans="1:5">
      <c r="A13" t="b">
        <f>$E$11=98000</f>
        <v>1</v>
      </c>
    </row>
    <row r="14" spans="1:5">
      <c r="A14">
        <f>COUNT($B$9:$D$9)</f>
        <v>3</v>
      </c>
    </row>
    <row r="15" spans="1:5">
      <c r="A15" t="b">
        <f t="array" ref="A15">$B$9:$D$9=INT($B$9:$D$9)</f>
        <v>1</v>
      </c>
    </row>
    <row r="16" spans="1:5">
      <c r="A16" t="b">
        <f t="array" ref="A16">$B$9:$D$9&gt;=0</f>
        <v>1</v>
      </c>
    </row>
    <row r="17" spans="1:1">
      <c r="A17" t="b">
        <f>Chicago_promotions&lt;=4</f>
        <v>1</v>
      </c>
    </row>
    <row r="18" spans="1:1">
      <c r="A18" t="b">
        <f>Las_Vegas_promotions&lt;=4</f>
        <v>1</v>
      </c>
    </row>
    <row r="19" spans="1:1">
      <c r="A19" t="b">
        <f>Orlando_promotions&lt;=4</f>
        <v>1</v>
      </c>
    </row>
    <row r="20" spans="1:1">
      <c r="A20">
        <f>{32767,32767,0.000001,0.01,TRUE,FALSE,FALSE,1,2,1,0.0001,TRUE}</f>
        <v>32767</v>
      </c>
    </row>
    <row r="21" spans="1:1">
      <c r="A21">
        <f>{0,0,2,100,0,FALSE,FALSE,0.075,0,0,FALSE,30}</f>
        <v>0</v>
      </c>
    </row>
  </sheetData>
  <mergeCells count="2">
    <mergeCell ref="A1:D1"/>
    <mergeCell ref="A2:D2"/>
  </mergeCells>
  <dataValidations count="1">
    <dataValidation allowBlank="1" error="pavI8MeUFtEyxX2I4tky89936d95-2f14-476f-a137-a8155052c265" sqref="A1:E12" xr:uid="{00000000-0002-0000-0600-000000000000}"/>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M6"/>
  <sheetViews>
    <sheetView workbookViewId="0">
      <selection activeCell="A3" sqref="A3"/>
    </sheetView>
  </sheetViews>
  <sheetFormatPr defaultRowHeight="14.25"/>
  <cols>
    <col min="1" max="1" width="9.5" bestFit="1" customWidth="1"/>
    <col min="2" max="2" width="9.625" bestFit="1" customWidth="1"/>
    <col min="3" max="3" width="20.5" bestFit="1" customWidth="1"/>
    <col min="6" max="6" width="10.375" bestFit="1" customWidth="1"/>
    <col min="7" max="7" width="13.625" bestFit="1" customWidth="1"/>
    <col min="8" max="8" width="26.625" bestFit="1" customWidth="1"/>
    <col min="9" max="9" width="10.875" bestFit="1" customWidth="1"/>
    <col min="10" max="10" width="13.875" bestFit="1" customWidth="1"/>
    <col min="11" max="11" width="12.375" bestFit="1" customWidth="1"/>
    <col min="12" max="12" width="12.5" bestFit="1" customWidth="1"/>
    <col min="13" max="13" width="18.5" bestFit="1" customWidth="1"/>
  </cols>
  <sheetData>
    <row r="1" spans="1:13">
      <c r="A1" s="16" t="s">
        <v>5</v>
      </c>
      <c r="B1" s="16" t="s">
        <v>6</v>
      </c>
      <c r="C1" s="16" t="s">
        <v>8</v>
      </c>
      <c r="D1" s="16" t="s">
        <v>7</v>
      </c>
      <c r="E1" s="16" t="s">
        <v>10</v>
      </c>
      <c r="F1" s="16" t="s">
        <v>12</v>
      </c>
      <c r="G1" s="16" t="s">
        <v>9</v>
      </c>
      <c r="H1" s="16" t="s">
        <v>11</v>
      </c>
      <c r="I1" s="16" t="s">
        <v>24</v>
      </c>
      <c r="J1" s="16" t="s">
        <v>21</v>
      </c>
      <c r="K1" s="16" t="s">
        <v>20</v>
      </c>
      <c r="L1" s="16" t="s">
        <v>22</v>
      </c>
      <c r="M1" s="16" t="s">
        <v>23</v>
      </c>
    </row>
    <row r="2" spans="1:13">
      <c r="A2" s="103" t="s">
        <v>153</v>
      </c>
      <c r="B2" s="103" t="s">
        <v>152</v>
      </c>
      <c r="C2" s="103" t="s">
        <v>154</v>
      </c>
      <c r="D2" s="103" t="s">
        <v>138</v>
      </c>
      <c r="E2" s="103" t="s">
        <v>156</v>
      </c>
      <c r="F2" s="103">
        <v>60612</v>
      </c>
      <c r="G2" s="103" t="s">
        <v>155</v>
      </c>
      <c r="H2" s="103" t="s">
        <v>157</v>
      </c>
      <c r="I2" s="103" t="s">
        <v>13</v>
      </c>
      <c r="J2" s="103" t="b">
        <v>1</v>
      </c>
      <c r="K2" s="103"/>
      <c r="L2" s="103" t="b">
        <v>0</v>
      </c>
      <c r="M2" s="103"/>
    </row>
    <row r="3" spans="1:13">
      <c r="A3" s="103"/>
      <c r="B3" s="103"/>
      <c r="C3" s="103"/>
      <c r="D3" s="103"/>
      <c r="E3" s="103"/>
      <c r="F3" s="103"/>
      <c r="G3" s="103"/>
      <c r="H3" s="103"/>
      <c r="I3" s="103"/>
      <c r="J3" s="103"/>
      <c r="K3" s="103"/>
      <c r="L3" s="103"/>
      <c r="M3" s="103"/>
    </row>
    <row r="4" spans="1:13">
      <c r="A4" s="20"/>
      <c r="B4" s="20"/>
      <c r="C4" s="20"/>
      <c r="D4" s="20"/>
      <c r="E4" s="20"/>
      <c r="F4" s="20"/>
      <c r="G4" s="20"/>
      <c r="H4" s="20"/>
      <c r="I4" s="20"/>
      <c r="J4" s="20"/>
      <c r="K4" s="20"/>
      <c r="L4" s="20"/>
      <c r="M4" s="20"/>
    </row>
    <row r="6" spans="1:13">
      <c r="A6" s="20"/>
      <c r="B6" s="20"/>
      <c r="C6" s="20"/>
      <c r="D6" s="20"/>
      <c r="E6" s="20"/>
      <c r="F6" s="20"/>
      <c r="G6" s="20"/>
      <c r="H6" s="20"/>
      <c r="I6" s="20"/>
      <c r="J6" s="20"/>
      <c r="K6" s="20"/>
      <c r="L6" s="20"/>
      <c r="M6" s="20"/>
    </row>
  </sheetData>
  <dataValidations count="1">
    <dataValidation allowBlank="1" error="pavI8MeUFtEyxX2I4tky89936d95-2f14-476f-a137-a8155052c265" sqref="A1:M6" xr:uid="{00000000-0002-0000-0700-000000000000}"/>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xml version="1.0" encoding="utf-8"?>
<GradingEngineProps xmlns="http://tempuri.org/temp">
  <UserID>{89936d95-2f14-476f-a137-a8155052c265}</UserID>
  <AssignmentID>{89936d95-2f14-476f-a137-a8155052c265}</AssignmentID>
</GradingEngineProps>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5424FB32-5C32-4F57-9C1F-4371D49A6173}">
  <ds:schemaRefs>
    <ds:schemaRef ds:uri="http://tempuri.org/temp"/>
  </ds:schemaRefs>
</ds:datastoreItem>
</file>

<file path=customXml/itemProps2.xml><?xml version="1.0" encoding="utf-8"?>
<ds:datastoreItem xmlns:ds="http://schemas.openxmlformats.org/officeDocument/2006/customXml" ds:itemID="{CBE009E7-67E3-4BA2-80AF-2B5D020D4B83}">
  <ds:schemaRefs>
    <ds:schemaRef ds:uri="http://schemas.microsoft.com/DataMashup"/>
  </ds:schemaRefs>
</ds:datastoreItem>
</file>

<file path=customXml/itemProps3.xml><?xml version="1.0" encoding="utf-8"?>
<ds:datastoreItem xmlns:ds="http://schemas.openxmlformats.org/officeDocument/2006/customXml" ds:itemID="{7CAAC34D-9A90-4412-B1DC-A0943D2FA43D}">
  <ds:schemaRefs/>
</ds:datastoreItem>
</file>

<file path=customXml/itemProps4.xml><?xml version="1.0" encoding="utf-8"?>
<ds:datastoreItem xmlns:ds="http://schemas.openxmlformats.org/officeDocument/2006/customXml" ds:itemID="{C91F981B-6E50-4D13-B051-1C46428051F8}">
  <ds:schemaRefs/>
</ds:datastoreItem>
</file>

<file path=customXml/itemProps5.xml><?xml version="1.0" encoding="utf-8"?>
<ds:datastoreItem xmlns:ds="http://schemas.openxmlformats.org/officeDocument/2006/customXml" ds:itemID="{9ACBCDFD-779C-4FA6-A0D6-6A9905AB7EA0}">
  <ds:schemaRefs/>
</ds:datastoreItem>
</file>

<file path=customXml/itemProps6.xml><?xml version="1.0" encoding="utf-8"?>
<ds:datastoreItem xmlns:ds="http://schemas.openxmlformats.org/officeDocument/2006/customXml" ds:itemID="{B5D74A53-6602-47E3-96E6-91B091576A6E}">
  <ds:schemaRefs/>
</ds:datastoreItem>
</file>

<file path=customXml/itemProps7.xml><?xml version="1.0" encoding="utf-8"?>
<ds:datastoreItem xmlns:ds="http://schemas.openxmlformats.org/officeDocument/2006/customXml" ds:itemID="{14309917-EE18-4F4A-A7EA-DB54BAA36344}">
  <ds:schemaRefs/>
</ds:datastoreItem>
</file>

<file path=customXml/itemProps8.xml><?xml version="1.0" encoding="utf-8"?>
<ds:datastoreItem xmlns:ds="http://schemas.openxmlformats.org/officeDocument/2006/customXml" ds:itemID="{21F4855C-6A95-457D-AF18-388C85766F1B}">
  <ds:schemaRefs/>
</ds:datastoreItem>
</file>

<file path=customXml/itemProps9.xml><?xml version="1.0" encoding="utf-8"?>
<ds:datastoreItem xmlns:ds="http://schemas.openxmlformats.org/officeDocument/2006/customXml" ds:itemID="{25A5D4C6-0161-4A88-839C-4C33D426CAE0}">
  <ds:schemaRefs/>
</ds:datastoreItem>
</file>

<file path=customXml/itemProps10.xml><?xml version="1.0" encoding="utf-8"?>
<ds:datastoreItem xmlns:ds="http://schemas.openxmlformats.org/officeDocument/2006/customXml" ds:itemID="{B868C383-9247-46F3-AF0E-E0084763F44A}">
  <ds:schemaRefs/>
</ds:datastoreItem>
</file>

<file path=customXml/itemProps11.xml><?xml version="1.0" encoding="utf-8"?>
<ds:datastoreItem xmlns:ds="http://schemas.openxmlformats.org/officeDocument/2006/customXml" ds:itemID="{89C235DF-0FFD-4DC6-8870-E5E143DB2827}">
  <ds:schemaRefs/>
</ds:datastoreItem>
</file>

<file path=customXml/itemProps12.xml><?xml version="1.0" encoding="utf-8"?>
<ds:datastoreItem xmlns:ds="http://schemas.openxmlformats.org/officeDocument/2006/customXml" ds:itemID="{A5AACF6E-5630-4508-84BC-22BFB8CA4B13}">
  <ds:schemaRefs/>
</ds:datastoreItem>
</file>

<file path=customXml/itemProps13.xml><?xml version="1.0" encoding="utf-8"?>
<ds:datastoreItem xmlns:ds="http://schemas.openxmlformats.org/officeDocument/2006/customXml" ds:itemID="{9E5DF0F8-9C1D-4D9E-A8EC-6B689D3A6CA5}">
  <ds:schemaRefs/>
</ds:datastoreItem>
</file>

<file path=customXml/itemProps14.xml><?xml version="1.0" encoding="utf-8"?>
<ds:datastoreItem xmlns:ds="http://schemas.openxmlformats.org/officeDocument/2006/customXml" ds:itemID="{02265505-9CFF-4A5B-9FBA-446E69A48191}">
  <ds:schemaRefs/>
</ds:datastoreItem>
</file>

<file path=customXml/itemProps15.xml><?xml version="1.0" encoding="utf-8"?>
<ds:datastoreItem xmlns:ds="http://schemas.openxmlformats.org/officeDocument/2006/customXml" ds:itemID="{11468E9E-7984-477F-97D2-99D3BF066C51}">
  <ds:schemaRefs/>
</ds:datastoreItem>
</file>

<file path=customXml/itemProps16.xml><?xml version="1.0" encoding="utf-8"?>
<ds:datastoreItem xmlns:ds="http://schemas.openxmlformats.org/officeDocument/2006/customXml" ds:itemID="{EE52AA33-93C4-4BE7-98B5-2D47662BB05E}">
  <ds:schemaRefs/>
</ds:datastoreItem>
</file>

<file path=customXml/itemProps17.xml><?xml version="1.0" encoding="utf-8"?>
<ds:datastoreItem xmlns:ds="http://schemas.openxmlformats.org/officeDocument/2006/customXml" ds:itemID="{ACC1E402-E276-49AC-9CBC-AE8210E4496D}">
  <ds:schemaRefs/>
</ds:datastoreItem>
</file>

<file path=customXml/itemProps18.xml><?xml version="1.0" encoding="utf-8"?>
<ds:datastoreItem xmlns:ds="http://schemas.openxmlformats.org/officeDocument/2006/customXml" ds:itemID="{0EB745AB-E8B0-4B26-B048-B07B1224973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Documentation</vt:lpstr>
      <vt:lpstr>Survey</vt:lpstr>
      <vt:lpstr>Sales Comparison</vt:lpstr>
      <vt:lpstr>May Sales by Region</vt:lpstr>
      <vt:lpstr>Sales Reps</vt:lpstr>
      <vt:lpstr>May Sales by Product Type</vt:lpstr>
      <vt:lpstr>Orders</vt:lpstr>
      <vt:lpstr>Installations</vt:lpstr>
      <vt:lpstr>Income Scenario Report</vt:lpstr>
      <vt:lpstr>Income Analysis</vt:lpstr>
      <vt:lpstr>Trade Show Answer Report</vt:lpstr>
      <vt:lpstr>Trade Shows</vt:lpstr>
      <vt:lpstr>Client Information</vt:lpstr>
      <vt:lpstr>Address</vt:lpstr>
      <vt:lpstr>Chicago_promotions</vt:lpstr>
      <vt:lpstr>City</vt:lpstr>
      <vt:lpstr>Email</vt:lpstr>
      <vt:lpstr>First_Name</vt:lpstr>
      <vt:lpstr>Las_Vegas_promotions</vt:lpstr>
      <vt:lpstr>Last_Name</vt:lpstr>
      <vt:lpstr>Miscellaneous</vt:lpstr>
      <vt:lpstr>Net_income</vt:lpstr>
      <vt:lpstr>Orlando_promotions</vt:lpstr>
      <vt:lpstr>Payroll</vt:lpstr>
      <vt:lpstr>Phone</vt:lpstr>
      <vt:lpstr>Postal_Code</vt:lpstr>
      <vt:lpstr>Price_per_unit</vt:lpstr>
      <vt:lpstr>Shipping_and_distribution</vt:lpstr>
      <vt:lpstr>Sources</vt:lpstr>
      <vt:lpstr>State</vt:lpstr>
      <vt:lpstr>Storage</vt:lpstr>
      <vt:lpstr>Total_expenses</vt:lpstr>
      <vt:lpstr>Total_promotion_cost</vt:lpstr>
      <vt:lpstr>Total_revenue</vt:lpstr>
      <vt:lpstr>Units_sold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Your Name</dc:creator>
  <cp:keywords>© 2020 Cengage Learning.</cp:keywords>
  <cp:lastModifiedBy>Matthew Arceneaux</cp:lastModifiedBy>
  <dcterms:created xsi:type="dcterms:W3CDTF">2019-03-29T17:45:45Z</dcterms:created>
  <dcterms:modified xsi:type="dcterms:W3CDTF">2024-12-08T16:41:43Z</dcterms:modified>
</cp:coreProperties>
</file>